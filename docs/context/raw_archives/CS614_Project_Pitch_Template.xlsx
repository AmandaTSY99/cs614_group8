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smu.sharepoint.com/teams/CS614GroupProject/Shared Documents/General/Proposal/"/>
    </mc:Choice>
  </mc:AlternateContent>
  <xr:revisionPtr revIDLastSave="340" documentId="8_{0502171B-D906-AA48-BBC6-DEAB1B449332}" xr6:coauthVersionLast="47" xr6:coauthVersionMax="47" xr10:uidLastSave="{8B48094F-AAD1-4A07-B996-9560B76DB5FB}"/>
  <bookViews>
    <workbookView xWindow="6252" yWindow="-16872" windowWidth="19380" windowHeight="11184" tabRatio="860" xr2:uid="{DE8C1A52-5FCE-4743-882D-BD52F3E87941}"/>
  </bookViews>
  <sheets>
    <sheet name="Pitch_Comparison_Matrix" sheetId="1" r:id="rId1"/>
    <sheet name="Idea_1_MultiAgent_MCP" sheetId="2" r:id="rId2"/>
    <sheet name="Idea_2_RAG_vs_QLoRA" sheetId="3" r:id="rId3"/>
    <sheet name="Blank_Idea_Template" sheetId="4" r:id="rId4"/>
    <sheet name="Prof_Rubric_&amp;_Guidelines" sheetId="5" r:id="rId5"/>
    <sheet name="Cal"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6" i="1" l="1"/>
  <c r="L47" i="1"/>
  <c r="L48" i="1"/>
  <c r="L45" i="1"/>
  <c r="L44" i="1"/>
  <c r="K49" i="1"/>
  <c r="K40" i="1"/>
  <c r="I40" i="1"/>
  <c r="C49" i="1"/>
  <c r="D49" i="1"/>
  <c r="E49" i="1"/>
  <c r="F49" i="1"/>
  <c r="G49" i="1"/>
  <c r="H49" i="1"/>
  <c r="I49" i="1"/>
  <c r="J49" i="1"/>
  <c r="B49" i="1"/>
  <c r="J40" i="1"/>
  <c r="H40" i="1"/>
  <c r="G40" i="1"/>
  <c r="E40" i="1"/>
  <c r="D40" i="1"/>
  <c r="C4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tc={B361E19E-5B2A-4275-8E1E-373CE9E12080}</author>
  </authors>
  <commentList>
    <comment ref="G13" authorId="0" shapeId="0" xr:uid="{B361E19E-5B2A-4275-8E1E-373CE9E12080}">
      <text>
        <t>[Threaded comment]
Your version of Excel allows you to read this threaded comment; however, any edits to it will get removed if the file is opened in a newer version of Excel. Learn more: https://go.microsoft.com/fwlink/?linkid=870924
Comment:
    AgentDojo may be outdated / saturated</t>
      </text>
    </comment>
  </commentList>
</comments>
</file>

<file path=xl/sharedStrings.xml><?xml version="1.0" encoding="utf-8"?>
<sst xmlns="http://schemas.openxmlformats.org/spreadsheetml/2006/main" count="649" uniqueCount="480">
  <si>
    <t>CS614 Gen AI with LLMs — Project Idea Pitch &amp; Evaluation Matrix</t>
  </si>
  <si>
    <t>Evaluate, compare, and vote on group project proposals against the Professor's B-level and A-level criteria. (Prof stated what we need to get a B - so the below shld covers what we need t o get an A)</t>
  </si>
  <si>
    <t>Evaluation Dimension</t>
  </si>
  <si>
    <t>Professor's Rubric / Key Requirements</t>
  </si>
  <si>
    <t>Idea 1: Multi-Agent Due Diligence (MCP)</t>
  </si>
  <si>
    <t>Idea 2: Advanced RAG vs QLoRA Bake-Off</t>
  </si>
  <si>
    <t>1. SCOPE &amp; DOMAIN MOTIVATION</t>
  </si>
  <si>
    <t>Project Title</t>
  </si>
  <si>
    <t>Clearly articulated title stating archetype &amp; goal</t>
  </si>
  <si>
    <t>Autonomous Financial &amp; Corporate Due Diligence Agent Swarm</t>
  </si>
  <si>
    <t>Project Archetype</t>
  </si>
  <si>
    <t>Must choose: System-Type (App/Pipeline) or Study-Type (In-depth analysis)</t>
  </si>
  <si>
    <t>System-Type (Multi-agent workflow + tool integration + automated auditor)</t>
  </si>
  <si>
    <t>Study-Type with Working Router (Empirical benchmark of 3 approaches)</t>
  </si>
  <si>
    <t>Target Domain &amp; Problem</t>
  </si>
  <si>
    <t>Real-world domain where vanilla LLMs suffer from severe hallucinations/outdated info</t>
  </si>
  <si>
    <t>Finance &amp; Equity Research: Analyzing 10-K SEC filings, earnings calls, and live market metrics to detect balance-sheet anomalies.</t>
  </si>
  <si>
    <t>Developer Tooling / Enterprise APIs: Answering complex queries on evolving internal SDKs where standard models hallucinate deprecated code.</t>
  </si>
  <si>
    <t>Target End Users</t>
  </si>
  <si>
    <t>Who benefits from this solution?</t>
  </si>
  <si>
    <t>Financial analysts, PE associates, compliance officers</t>
  </si>
  <si>
    <t>Software engineers, technical solutions architects, API consumers</t>
  </si>
  <si>
    <t>[Users]</t>
  </si>
  <si>
    <t>2. TECHNICAL ARCHITECTURE &amp; SYLLABUS INTEGRATION</t>
  </si>
  <si>
    <t>Class Topics Integrated</t>
  </si>
  <si>
    <t>Must integrate at least one core topic in depth (Fine-Tuning, Adv RAG, or Multi-Agent)</t>
  </si>
  <si>
    <t>• Agentic Orchestration (Session 7)
• Model Context Protocol / MCP (Session 7)
• Advanced RAG (Session 6)
• Hallucination Mitigation (Session 9)</t>
  </si>
  <si>
    <t>• Parameter-Efficient Fine-Tuning / QLoRA (Session 4)
• Advanced RAG with Re-ranking &amp; HyDE (Session 6)
• LLM Evaluation &amp; Benchmarking (Session 5)
• Inference Optimization (Session 5)</t>
  </si>
  <si>
    <t>[Topics]</t>
  </si>
  <si>
    <t>Core Models Selected</t>
  </si>
  <si>
    <t>Open-weight models (Llama, Mistral, Qwen) or frontier API combinations</t>
  </si>
  <si>
    <t>Frontier Reasoning LLM (Claude 3.5 Sonnet / GPT-4o) + Open Critic (Llama 3 8B)</t>
  </si>
  <si>
    <t>Open-weight: Llama 3 8B / Qwen 2.5 7B (QLoRA) vs Frontier: Claude 3.5 / GPT-4o (RAG)</t>
  </si>
  <si>
    <t>[Models]</t>
  </si>
  <si>
    <t>Data Provenance &amp; Sources</t>
  </si>
  <si>
    <t>Data origin, licensing, pre-processing, synthetic data curation</t>
  </si>
  <si>
    <t>SEC EDGAR 10-K filings, Yahoo Finance live API, Earnings Call transcripts dataset</t>
  </si>
  <si>
    <t>5,000 synthetic technical Q&amp;A pairs curated from official SDK docs + 500 gold test set</t>
  </si>
  <si>
    <t>[Data sources]</t>
  </si>
  <si>
    <t>Tools / Tech Stack</t>
  </si>
  <si>
    <t>Frameworks, vector DBs, fine-tuning libraries, agent runtimes</t>
  </si>
  <si>
    <t>LangGraph, Model Context Protocol (MCP) Python SDK, ChromaDB, FastAPI/Streamlit</t>
  </si>
  <si>
    <t>Unsloth, HuggingFace TRL/PEFT, LlamaIndex, Qdrant/Chroma, vLLM / Ollama</t>
  </si>
  <si>
    <t>[Tech stack]</t>
  </si>
  <si>
    <t>3. MANDATORY COMPARATIVE ANALYSIS (AT LEAST 2 ALTERNATIVES)</t>
  </si>
  <si>
    <t>Alternative A (Baseline)</t>
  </si>
  <si>
    <t>Standard / naive baseline to measure improvement against</t>
  </si>
  <si>
    <t>Single-turn Naive RAG: Zero-shot prompt + basic chunked vector retrieval</t>
  </si>
  <si>
    <t>Approach A: Base Llama 3 8B + Basic Vector RAG (Naive Top-k)</t>
  </si>
  <si>
    <t>[Baseline A]</t>
  </si>
  <si>
    <t>Alternative B (Improved System)</t>
  </si>
  <si>
    <t>Proposed advanced method(s)</t>
  </si>
  <si>
    <t>MCP Multi-Agent Swarm with dynamic tool calling &amp; autonomous query decomposition</t>
  </si>
  <si>
    <t>Approach B: QLoRA Fine-tuned Llama 3 8B (No retrieval during inference)</t>
  </si>
  <si>
    <t>[System B]</t>
  </si>
  <si>
    <t>Alternative C (Optional / Router)</t>
  </si>
  <si>
    <t>Third alternative or hybrid ensemble</t>
  </si>
  <si>
    <t>Swarm + Critic-Loop (Adversarial reflection before returning answer)</t>
  </si>
  <si>
    <t>Approach C: Hybrid Router (Routes query to QLoRA or Advanced RAG based on intent)</t>
  </si>
  <si>
    <t>[System C]</t>
  </si>
  <si>
    <t>Trade-Offs Investigated</t>
  </si>
  <si>
    <t>Must analyze trade-offs (e.g. Quality vs Cost vs Latency)</t>
  </si>
  <si>
    <t>• Hallucination reduction vs. multi-step agent latency
• Token API cost vs depth of audit report
• Tool call reliability across turns</t>
  </si>
  <si>
    <t>• Accuracy &amp; Hallucination rate on code generation
• Time-to-first-token &amp; throughput (tok/sec)
• Training compute cost vs per-query inference cost ($)</t>
  </si>
  <si>
    <t>[Trade-offs]</t>
  </si>
  <si>
    <t>4. EVALUATION FRAMEWORK (QUANTITATIVE + QUALITATIVE)</t>
  </si>
  <si>
    <t>Quantitative Metrics</t>
  </si>
  <si>
    <t>Appropriate task metrics (F1, RAGAS, LLM-as-judge rubric, latency, cost)</t>
  </si>
  <si>
    <t>• RAGAS (Context Precision, Recall, Faithfulness)
• LLM-as-a-judge rubric (1-5 factual accuracy)
• End-to-end task completion time &amp; token cost ($)</t>
  </si>
  <si>
    <t>• Code Exact Match &amp; Pass@k on API calls
• BERTScore / ROUGE-L on explanations
• p50 / p95 Inference Latency (ms)
• VRAM usage (GB) &amp; Cost/1k queries</t>
  </si>
  <si>
    <t>[Metrics]</t>
  </si>
  <si>
    <t>Qualitative Analysis Plan</t>
  </si>
  <si>
    <t>Cannot rely solely on numbers; inspect failure modes &amp; output samples</t>
  </si>
  <si>
    <t>Manual review of 50 edge-case financial queries; failure taxonomy categorizing bad tool args, missed balance-sheet figures, and hallucinated calculations.</t>
  </si>
  <si>
    <t>Dissection of 50 failed code snippets; error taxonomy: deprecated syntax, hallucinated parameters, context overflow, vs syntax errors.</t>
  </si>
  <si>
    <t>[Qualitative plan]</t>
  </si>
  <si>
    <t>Evaluation Ground Truth</t>
  </si>
  <si>
    <t>How is ground truth established? (Golden test set, human labels, expert rubric)</t>
  </si>
  <si>
    <t>Curated golden test set of 100 verified financial due-diligence questions with ground-truth facts from 10-K filings.</t>
  </si>
  <si>
    <t>Held-out test set of 250 verified SDK coding queries with unit-test test harness.</t>
  </si>
  <si>
    <t>[Ground truth]</t>
  </si>
  <si>
    <t>5. SAFETY, RISKS &amp; ACTIVE GUARDRAILS</t>
  </si>
  <si>
    <t>Identified Risks</t>
  </si>
  <si>
    <t>Domain-specific risks (Hallucinations, prompt injection, financial bad advice)</t>
  </si>
  <si>
    <t>Hallucinated financial ratios, ungrounded forward-looking statements, prompt injection via raw scraped 10-K text.</t>
  </si>
  <si>
    <t>Synthesizing insecure code, catastrophic forgetting of general reasoning, hallucinations on non-existent API endpoints.</t>
  </si>
  <si>
    <t>[Identified risks]</t>
  </si>
  <si>
    <t>Active Guardrails Implemented</t>
  </si>
  <si>
    <t>Must implement or describe concrete mitigations/guardrails</t>
  </si>
  <si>
    <t>• Auditor Agent verifies numerical claims against source citations before output.
• Input sanitization for MCP tool arguments.
• Fallback refusal when confidence &lt; threshold.</t>
  </si>
  <si>
    <t>• Post-generation semantic validator (AST syntax checker + Llama-Guard).
• Strict temperature &amp; repetition penalty constraints.
• Confidence calibration filtering.</t>
  </si>
  <si>
    <t>[Guardrails]</t>
  </si>
  <si>
    <t>6. 5-PERSON WORKLOAD ALLOCATION (DISTINCT, COOPERATIVE ROLES)</t>
  </si>
  <si>
    <t>Member 1 Ownership</t>
  </si>
  <si>
    <t>Data engineering / baseline ingestion</t>
  </si>
  <si>
    <t>Data Pipeline &amp; Vector Store: Ingestion of 10-K PDFs, tables chunking, metadata extraction, baseline single-turn RAG.</t>
  </si>
  <si>
    <t>Data Curator &amp; Benchmark Lead: Scrapes SDK docs, curates 5k synthetic QA pairs, builds 500 gold test set with unit tests.</t>
  </si>
  <si>
    <t>[Member 1]</t>
  </si>
  <si>
    <t>Member 2 Ownership</t>
  </si>
  <si>
    <t>Tooling / Core model training</t>
  </si>
  <si>
    <t>MCP Tool Developer: Builds Python MCP servers for Yahoo Finance, SEC EDGAR API, and SQL financial DB.</t>
  </si>
  <si>
    <t>Fine-Tuning Lead: Sets up QLoRA training pipeline (Unsloth), hyperparameter tuning (rank, alpha, lr), training curves.</t>
  </si>
  <si>
    <t>[Member 2]</t>
  </si>
  <si>
    <t>Member 3 Ownership</t>
  </si>
  <si>
    <t>Orchestration / Secondary architecture</t>
  </si>
  <si>
    <t>Agent Orchestration Lead: LangGraph state machine, planner agent logic, dynamic tool dispatching, human-in-the-loop.</t>
  </si>
  <si>
    <t>Advanced RAG Architect: HyDE query expansion, dense+sparse hybrid retrieval, cross-encoder re-ranking pipeline.</t>
  </si>
  <si>
    <t>[Member 3]</t>
  </si>
  <si>
    <t>Member 4 Ownership</t>
  </si>
  <si>
    <t>Safety, Auditor &amp; Deployment</t>
  </si>
  <si>
    <t>Auditor Agent &amp; Safety Guardrails: Prompting and calibrating critic agent, citation cross-checking, prompt injection defense.</t>
  </si>
  <si>
    <t>Hybrid Router &amp; Deployment: Builds query intent classifier (Router), local vLLM/Ollama inference serving, UI demo.</t>
  </si>
  <si>
    <t>[Member 4]</t>
  </si>
  <si>
    <t>Member 5 Ownership</t>
  </si>
  <si>
    <t>Evaluation, Benchmarking &amp; Report</t>
  </si>
  <si>
    <t>Evaluation Scientist: LLM-as-a-judge automated benchmarking, RAGAS execution, qualitative failure analysis, report lead.</t>
  </si>
  <si>
    <t>Evaluation Scientist &amp; Trade-Off Analyst: Automated test harness, Pareto frontier analysis (Acc vs Latency vs Cost), report lead.</t>
  </si>
  <si>
    <t>[Member 5]</t>
  </si>
  <si>
    <t>7. FEASIBILITY &amp; COMPUTE REQUIREMENTS</t>
  </si>
  <si>
    <t>Compute / GPU Needs</t>
  </si>
  <si>
    <t>Free Colab, Colab Pro T4/A100, Local Mac MPS, or API credits</t>
  </si>
  <si>
    <t>Minimal GPU needed (uses API models + local ChromaDB on Mac/CPU); requires ~$15 Anthropic/OpenAI API credits.</t>
  </si>
  <si>
    <t>Requires 1x A100 GPU (Colab Pro / RunPod ~$10) for 3 hours of QLoRA fine-tuning; inference runs locally on Mac via Ollama.</t>
  </si>
  <si>
    <t>[Compute needs]</t>
  </si>
  <si>
    <t>Time to MVP</t>
  </si>
  <si>
    <t>Can a baseline be functional in 2 weeks?</t>
  </si>
  <si>
    <t>High feasibility: Week 1 for MCP tools + DB; Week 2 for LangGraph swarm; Week 3 for evaluation &amp; report.</t>
  </si>
  <si>
    <t>Medium-High feasibility: Week 1 for dataset curation; Week 2 for QLoRA training &amp; RAG pipeline; Week 3 for eval &amp; report.</t>
  </si>
  <si>
    <t>[Feasibility]</t>
  </si>
  <si>
    <t>8. TEAM VOTING &amp; SCORING (ENTER 1 - 5 IN CELLS BELOW)</t>
  </si>
  <si>
    <t>Technical Novelty (1-5)</t>
  </si>
  <si>
    <t>Does this stand out beyond a standard basic chatbot?</t>
  </si>
  <si>
    <t>Grading Rubric Fit (1-5)</t>
  </si>
  <si>
    <t>Does this hit all Prof's criteria (comparative, eval, guardrails)?</t>
  </si>
  <si>
    <t>Feasibility &amp; Execution (1-5)</t>
  </si>
  <si>
    <t>Can our 5-man team deliver this within the semester?</t>
  </si>
  <si>
    <t>A+ Potential Score</t>
  </si>
  <si>
    <t>Total Score (Max 15)</t>
  </si>
  <si>
    <t>Team Preference Rank</t>
  </si>
  <si>
    <t>1 = Highest Choice</t>
  </si>
  <si>
    <t>1</t>
  </si>
  <si>
    <t>2</t>
  </si>
  <si>
    <t>3</t>
  </si>
  <si>
    <t>4</t>
  </si>
  <si>
    <t>5</t>
  </si>
  <si>
    <t>CS614 Project Proposal Deep Dive — Idea 1: Multi-Agent Due Diligence (MCP)</t>
  </si>
  <si>
    <t>Detailed technical proposal specification and role allocation for team review.</t>
  </si>
  <si>
    <t>Section &amp; Parameter</t>
  </si>
  <si>
    <t>Professor Rubric &amp; Prompt Questions</t>
  </si>
  <si>
    <t>Proposal Details &amp; Technical Specification</t>
  </si>
  <si>
    <t>1. PROJECT SCOPE &amp; OBJECTIVE</t>
  </si>
  <si>
    <t>Project Name</t>
  </si>
  <si>
    <t>Descriptive title indicating system archetype</t>
  </si>
  <si>
    <t>Autonomous Financial &amp; Corporate Due Diligence Agent Swarm via Model Context Protocol (MCP)</t>
  </si>
  <si>
    <t>Project Type</t>
  </si>
  <si>
    <t>System-Type (Application) vs. Study-Type (Benchmarking)</t>
  </si>
  <si>
    <t>System-Type Project (Autonomous multi-agent research and auditing system with tool interfaces)</t>
  </si>
  <si>
    <t>Domain &amp; Problem</t>
  </si>
  <si>
    <t>What business problem does this solve? Why is it non-trivial?</t>
  </si>
  <si>
    <t>Equity research analysts spend 40+ hours manually scouring hundreds of pages of SEC 10-K filings, earnings calls, and financial statements to assess company health. Vanilla LLMs fail because: (1) context window limits, (2) severe arithmetic and citation hallucinations, and (3) lack of access to real-time APIs.</t>
  </si>
  <si>
    <t>Expected Deliverable</t>
  </si>
  <si>
    <t>What is the final user-facing artifact?</t>
  </si>
  <si>
    <t>An end-to-end Python/FastAPI pipeline where a user inputs a ticker (e.g., 'AAPL'), triggering an autonomous agent swarm that generates a cited 5-page due-diligence memo verified by an Auditor Agent.</t>
  </si>
  <si>
    <t>2. TECHNICAL ARCHITECTURE &amp; SYLLABUS ALIGNMENT</t>
  </si>
  <si>
    <t>Class Topics Covered</t>
  </si>
  <si>
    <t>Which course sessions are directly demonstrated?</t>
  </si>
  <si>
    <t>• Session 7: Agentic LLM Orchestration &amp; Model Context Protocol (MCP)
• Session 6: Advanced Retrieval-Augmented Generation (RAG)
• Session 9: Hallucination Mitigation &amp; Verification Loops</t>
  </si>
  <si>
    <t>Agent Roles &amp; Workflow</t>
  </si>
  <si>
    <t>What are the specific agent roles?</t>
  </si>
  <si>
    <t>1. Planner Agent: Decomposes query into sub-tasks (Revenue analysis, Risk factors, Competitor comparison).
2. Search &amp; Ingestion Agent: Ingests 10-K filings into vector store.
3. MCP Tool Agent: Queries live stock prices &amp; financial metrics via Yahoo Finance MCP server.
4. Auditor/Critic Agent: Compares draft claims against cited source text; flags ungrounded numbers.
5. Report Synthesizer: Compiles final polished markdown briefing.</t>
  </si>
  <si>
    <t>Model Choices</t>
  </si>
  <si>
    <t>Frontier API models vs open-weight models?</t>
  </si>
  <si>
    <t>Frontier Model (Claude 3.5 Sonnet or GPT-4o) for planner and tool calling; Open-Weight Model (Llama 3 8B via Ollama) fine-tuned/prompted as the dedicated Auditor/Critic Agent.</t>
  </si>
  <si>
    <t>External Tools &amp; MCP</t>
  </si>
  <si>
    <t>What tools will the agents use via MCP?</t>
  </si>
  <si>
    <t>• SEC EDGAR API MCP Server (Retrieves 10-K/10-Q filings)
• Yahoo Finance MCP Server (Retrieves balance sheets, P/E ratios, live quotes)
• DuckDuckGo MCP Server (Web search for recent news/controversies)</t>
  </si>
  <si>
    <t>3. MANDATORY COMPARATIVE ANALYSIS</t>
  </si>
  <si>
    <t>Baseline (Alternative A)</t>
  </si>
  <si>
    <t>What naive baseline will you benchmark against?</t>
  </si>
  <si>
    <t>Single-Turn Naive RAG: Zero-shot prompt fed with top-5 chunked vectors from 10-K filings without agent decomposition or external tool access.</t>
  </si>
  <si>
    <t>Proposed System (Alternative B)</t>
  </si>
  <si>
    <t>What is the primary proposed system?</t>
  </si>
  <si>
    <t>Multi-Agent MCP Swarm: Coordinated multi-agent workflow using Model Context Protocol to query structured databases + vector filings.</t>
  </si>
  <si>
    <t>Enhanced Variant (Alternative C)</t>
  </si>
  <si>
    <t>Optional third alternative or ablation?</t>
  </si>
  <si>
    <t>Swarm + Critic-in-the-Loop: Agent swarm equipped with a self-reflection auditor loop that rejects and regenerates ungrounded statements.</t>
  </si>
  <si>
    <t>Trade-Off Dimensions</t>
  </si>
  <si>
    <t>What trade-offs will be measured?</t>
  </si>
  <si>
    <t>• Hallucination Rate vs. End-to-End Latency
• Financial Accuracy vs. Token Compute Cost ($ per report)
• Tool Calling Success Rate across complex multi-step queries</t>
  </si>
  <si>
    <t>4. EVALUATION &amp; BENCHMARKING METHODOLOGY</t>
  </si>
  <si>
    <t>Specific numbers and scoring rubrics</t>
  </si>
  <si>
    <t>• RAGAS Framework: Faithfulness, Answer Relevance, Context Recall
• Numeric Extraction Accuracy: Percentage of exact-match financial ratios compared to ground truth
• Cost ($) &amp; Latency: Wall-clock runtime (seconds) and OpenAI/Anthropic token cost per run</t>
  </si>
  <si>
    <t>Qualitative Error Analysis</t>
  </si>
  <si>
    <t>How will failure modes be analyzed?</t>
  </si>
  <si>
    <t>Manual inspection of 50 edge-case test questions (e.g. conflicting restated earnings). Error taxonomy categorizing: (1) Tool argument syntax errors, (2) Retrieval misses, (3) Arithmetic calculation hallucinations.</t>
  </si>
  <si>
    <t>Golden Test Set</t>
  </si>
  <si>
    <t>Ground truth data used for evaluation</t>
  </si>
  <si>
    <t>Curated evaluation set of 100 verified financial audit queries across 10 Fortune 500 companies with human-verified ground truth answers extracted directly from SEC filings.</t>
  </si>
  <si>
    <t>5. RISKS &amp; ACTIVE GUARDRAILS</t>
  </si>
  <si>
    <t>Key Operational Risks</t>
  </si>
  <si>
    <t>What can go wrong?</t>
  </si>
  <si>
    <t>1. Financial hallucination leading to incorrect investment analysis.
2. Prompt injection attacks embedded inside scraped financial filings.
3. Agent loops running indefinitely due to failed tool calls.</t>
  </si>
  <si>
    <t>Guardrail Implementation</t>
  </si>
  <si>
    <t>What concrete defenses will be coded?</t>
  </si>
  <si>
    <t>• Active Auditor Agent: Validates that every numerical claim has an exact text quote in retrieved context.
• Execution Limits: Hard cap of 5 tool calls per sub-task to avoid infinite loops.
• Input Sanitization: Strict regex and type validation on all MCP server tool arguments.</t>
  </si>
  <si>
    <t>6. 5-PERSON WORKLOAD ALLOCATION</t>
  </si>
  <si>
    <t>Member 1 (Data &amp; Ingestion)</t>
  </si>
  <si>
    <t>Role, modules, and deliverables</t>
  </si>
  <si>
    <t>Data &amp; Ingestion Engineer: Ingests 10-K PDFs, extracts structured tables using pdfplumber/unstructured, chunks text, populates ChromaDB vector store, implements baseline single-turn RAG.</t>
  </si>
  <si>
    <t>Member 2 (MCP Tooling)</t>
  </si>
  <si>
    <t>MCP &amp; Tool Lead: Implements Python MCP servers connecting to SEC EDGAR API, Yahoo Finance API, and local SQLite balance sheet database. Tests tool calling accuracy.</t>
  </si>
  <si>
    <t>Member 3 (Agent Orchestrator)</t>
  </si>
  <si>
    <t>Agent Orchestration Lead: Builds LangGraph state machine, planner agent prompt engineering, dynamic agent handoffs, message history management, and CLI/web interface.</t>
  </si>
  <si>
    <t>Member 4 (Auditor &amp; Guardrails)</t>
  </si>
  <si>
    <t>Auditor &amp; Guardrail Engineer: Designs the Critic/Auditor Agent, implements citation verification algorithms, prompt injection filtering, and execution guardrails.</t>
  </si>
  <si>
    <t>Member 5 (Evaluation &amp; Report)</t>
  </si>
  <si>
    <t>Evaluation Scientist &amp; Report Lead: Curates the 100-question gold evaluation set, runs RAGAS benchmark, conducts qualitative failure analysis, writes final 10-page paper and slides.</t>
  </si>
  <si>
    <t>7. REPRODUCIBILITY &amp; FEASIBILITY</t>
  </si>
  <si>
    <t>Compute &amp; Budget Requirements</t>
  </si>
  <si>
    <t>GPU, API keys, storage requirements</t>
  </si>
  <si>
    <t>No expensive GPUs required. Runs locally on CPU/Mac. Requires ~$15-$25 total in OpenAI/Anthropic API credits for full agent swarm evaluation.</t>
  </si>
  <si>
    <t>Milestone Timeline</t>
  </si>
  <si>
    <t>3-week sprint breakdown</t>
  </si>
  <si>
    <t>Week 1: Data ingestion pipeline + MCP tool servers built.
Week 2: LangGraph multi-agent swarm wired and working.
Week 3: Evaluation benchmark, qualitative failure analysis, final report &amp; video demo.</t>
  </si>
  <si>
    <t>CS614 Project Proposal Deep Dive — Idea 2: Advanced RAG vs. QLoRA Bake-Off</t>
  </si>
  <si>
    <t>The Scientific Bake-Off: Advanced RAG vs. QLoRA vs. Dynamic Hybrid Routing for Enterprise Developer APIs</t>
  </si>
  <si>
    <t>Study-Type Project with Functional Deployment (Empirical comparative study answering when to fine-tune vs. when to retrieve)</t>
  </si>
  <si>
    <t>Enterprise developer SDKs evolve rapidly. Off-the-shelf LLMs hallucinate deprecated syntax, non-existent function arguments, and invalid imports. Companies face a dilemma: Should they fine-tune an open-weight model on their docs, build an advanced RAG retrieval system, or use a hybrid router?</t>
  </si>
  <si>
    <t>A comprehensive comparative study report + deployed interactive query router that directs queries between a fine-tuned Llama 3 model and an Advanced RAG system based on query complexity.</t>
  </si>
  <si>
    <t>• Sessions 3 &amp; 4: Fine-Tuning, LoRA / QLoRA, Parameter-Efficient Training
• Session 6: Advanced RAG (HyDE, Re-ranking, Hybrid Search)
• Session 5: LLM Inference Optimization, Latency &amp; Cost Trade-offs
• Session 5: Evaluation Frameworks (Pass@k, Exact Match, BERTScore)</t>
  </si>
  <si>
    <t>Proposed Systems</t>
  </si>
  <si>
    <t>What are the exact models and techniques?</t>
  </si>
  <si>
    <t>1. QLoRA Fine-Tuned Model: Llama 3 8B fine-tuned using Unsloth on 5,000 synthetic technical instruction-response pairs.
2. Advanced RAG System: Base Llama 3 8B / Claude 3.5 queried with HyDE (Hypothetical Document Embeddings) and BGE-Reranker-large.
3. Hybrid Semantic Router: Small embedding classifier that routes syntax lookups to QLoRA and multi-file architectural questions to RAG.</t>
  </si>
  <si>
    <t>Data Curation Strategy</t>
  </si>
  <si>
    <t>How is the training and test data generated?</t>
  </si>
  <si>
    <t>Curate the complete official documentation and GitHub repositories of a modern SDK (e.g. LangChain v0.3 or Stripe API). Generate 5,000 synthetic instruction pairs using GPT-4o with strict verification, holding out 500 questions for final evaluation.</t>
  </si>
  <si>
    <t>Compute Stack</t>
  </si>
  <si>
    <t>What hardware and libraries are used?</t>
  </si>
  <si>
    <t>Unsloth + HuggingFace TRL on Google Colab Pro (1x A100 GPU for 3 hours of training). Vector DB: Qdrant/Chroma. Inference serving: vLLM or Ollama.</t>
  </si>
  <si>
    <t>Approach 1 (Baseline)</t>
  </si>
  <si>
    <t>What is the first alternative?</t>
  </si>
  <si>
    <t>System A: Base Open-Weight LLM (Llama 3 8B) + Naive Vector RAG (standard cosine similarity chunk retrieval).</t>
  </si>
  <si>
    <t>Approach 2 (Fine-Tuning)</t>
  </si>
  <si>
    <t>What is the second alternative?</t>
  </si>
  <si>
    <t>System B: QLoRA Fine-Tuned Llama 3 8B (zero retrieval during inference, relying entirely on internalized parametric knowledge).</t>
  </si>
  <si>
    <t>Approach 3 (Advanced RAG)</t>
  </si>
  <si>
    <t>What is the third alternative?</t>
  </si>
  <si>
    <t>System C: Advanced RAG with query re-writing, hybrid dense/sparse search, and cross-encoder re-ranking.</t>
  </si>
  <si>
    <t>Approach 4 (Hybrid Router)</t>
  </si>
  <si>
    <t>How are they combined?</t>
  </si>
  <si>
    <t>System D: Hybrid Gateway that classifies query complexity to dynamically route to System B or C.</t>
  </si>
  <si>
    <t>Trade-Off Axes</t>
  </si>
  <si>
    <t>What dimensions are compared?</t>
  </si>
  <si>
    <t>Pareto Frontier analysis across 4 axes: (1) Code generation accuracy / syntax correctness, (2) Hallucination rate, (3) Inference latency (p50/p95 ms), and (4) Amortized cost per 10,000 queries ($).</t>
  </si>
  <si>
    <t>• Code Execution Pass@1: Automated Python execution harness verifying if generated code runs without errors.
• API Hallucination Rate: Frequency of calling non-existent methods or deprecated arguments.
• Inference Latency: Time to First Token (TTFT) and throughput (tokens/sec) measured across 100 queries.
• Financial Cost: Training GPU compute cost ($12) vs. RAG retrieval embedding/inference costs.</t>
  </si>
  <si>
    <t>Ablation breakdown of 50 failed generations per system. Analysis of parametric drift in fine-tuned models vs retrieval context dilution in RAG.</t>
  </si>
  <si>
    <t>Held-out test set of 250 verified coding challenges with unit test assertions to definitively verify correctness.</t>
  </si>
  <si>
    <t>1. Catastrophic forgetting during QLoRA training (model forgets general reasoning).
2. Model generating insecure or vulnerable code snippets.
3. Overfitting on synthetic training data formatting.</t>
  </si>
  <si>
    <t>• AST Syntax Validator: Automated Python AST parser checks syntax before returning response to user.
• Llama-Guard / Safety Filter: Screens outputs for harmful or unsafe scripts.
• Confidence Thresholding: Rejection sampling if model perplexity on output is above threshold.</t>
  </si>
  <si>
    <t>Member 1 (Data Curator)</t>
  </si>
  <si>
    <t>Dataset Curator &amp; Generator: Scrapes documentation, runs GPT-4o synthetic dataset generation pipeline (5k pairs), establishes data cleaning scripts, formats HuggingFace datasets.</t>
  </si>
  <si>
    <t>Member 2 (Fine-Tuning Lead)</t>
  </si>
  <si>
    <t>Fine-Tuning Engineer: Sets up Unsloth QLoRA training pipeline, executes hyperparameter tuning (LoRA rank r=16/32, alpha, learning rate schedule), logs training/validation loss curves.</t>
  </si>
  <si>
    <t>Member 3 (Advanced RAG)</t>
  </si>
  <si>
    <t>RAG Architect: Builds dense (OpenAI/BGE) + sparse (BM25) hybrid retriever, implements HyDE and cross-encoder re-ranker, tunes chunk size and overlap parameters.</t>
  </si>
  <si>
    <t>Member 4 (Router &amp; Serving)</t>
  </si>
  <si>
    <t>Routing &amp; Serving Engineer: Trains fast text-classification router, sets up local vLLM/Ollama inference server, builds Streamlit interactive comparison dashboard.</t>
  </si>
  <si>
    <t>Member 5 (Evaluation Lead)</t>
  </si>
  <si>
    <t>Evaluation Scientist &amp; Report Lead: Builds automated unit test execution harness (Pass@1), calculates RAGAS metrics, generates Pareto trade-off charts, leads 10-page report writing.</t>
  </si>
  <si>
    <t>Requires 1x A100 GPU for ~3 hours (Colab Pro $10 credit or RunPod $5). Evaluation inference can run on Google Colab or local Mac. Total estimated cost &lt; $20.</t>
  </si>
  <si>
    <t>Week 1: SDK docs scraped, 5k training dataset + 250 gold test set curated.
Week 2: QLoRA model trained; Advanced RAG pipeline configured; Router trained.
Week 3: Automated test harness executed, latency/cost benchmarking, final report.</t>
  </si>
  <si>
    <t>CS614 Project Proposal Deep Dive — [Template] New Project Idea Pitch</t>
  </si>
  <si>
    <t>&lt;Enter your project title here&gt;</t>
  </si>
  <si>
    <t>&lt;Choose one: System-Type or Study-Type&gt;</t>
  </si>
  <si>
    <t>&lt;Describe the real-world domain, target problem, and why standard LLMs fail at this task&gt;</t>
  </si>
  <si>
    <t>&lt;Describe the functional prototype, pipeline, or research benchmark deliverable&gt;</t>
  </si>
  <si>
    <t>&lt;List sessions: Fine-Tuning, Advanced RAG, Multi-Agent/MCP, Safety/Ethics, Inference/Evaluation&gt;</t>
  </si>
  <si>
    <t>System Architecture</t>
  </si>
  <si>
    <t>What are the core components and data flow?</t>
  </si>
  <si>
    <t>&lt;Explain the high-level workflow from user query to output generation&gt;</t>
  </si>
  <si>
    <t>&lt;Specify models: e.g. Llama 3 8B, Mistral 7B, Claude 3.5, GPT-4o, etc.&gt;</t>
  </si>
  <si>
    <t>External Tools &amp; Libraries</t>
  </si>
  <si>
    <t>What libraries, vector stores, or tool servers are used?</t>
  </si>
  <si>
    <t>&lt;List tools: LangGraph, Unsloth, ChromaDB, HuggingFace, FastAPI, Streamlit, etc.&gt;</t>
  </si>
  <si>
    <t>&lt;Describe Alternative 1: e.g., Base zero-shot model or Naive Vector RAG&gt;</t>
  </si>
  <si>
    <t>&lt;Describe Alternative 2: e.g., LoRA fine-tuned model or Multi-agent system&gt;</t>
  </si>
  <si>
    <t>Optional third alternative or hybrid combination?</t>
  </si>
  <si>
    <t>&lt;Optional Alternative 3: e.g., Hybrid router or agentic reflection loop&gt;</t>
  </si>
  <si>
    <t>&lt;List trade-offs: e.g. Quality/Accuracy vs. Latency vs. Token Cost ($) vs. Compute&gt;</t>
  </si>
  <si>
    <t>&lt;List metrics: Accuracy, F1, RAGAS scores, LLM-as-judge rubric (1-5), Latency ms, Cost $&gt;</t>
  </si>
  <si>
    <t>&lt;Describe plan for inspecting specific inputs/outputs and categorizing error types&gt;</t>
  </si>
  <si>
    <t>&lt;Describe your test dataset: size, provenance, ground-truth verification method&gt;</t>
  </si>
  <si>
    <t>&lt;Identify domain risks: hallucinations, jailbreaks, data leakage, toxic outputs&gt;</t>
  </si>
  <si>
    <t>&lt;Describe implemented mitigations: critic verification, Llama-Guard, input/output filters&gt;</t>
  </si>
  <si>
    <t>&lt;Member 1 Name: Data curation, baseline implementation, preprocessing&gt;</t>
  </si>
  <si>
    <t>&lt;Member 2 Name: Core model training, MCP tool development, or retriever setup&gt;</t>
  </si>
  <si>
    <t>&lt;Member 3 Name: Orchestration, secondary system implementation, or routing&gt;</t>
  </si>
  <si>
    <t>&lt;Member 4 Name: Safety guardrails, auditor logic, or deployment interface&gt;</t>
  </si>
  <si>
    <t>&lt;Member 5 Name: Automated evaluation suite, failure analysis, report lead&gt;</t>
  </si>
  <si>
    <t>&lt;Estimate GPU needs (Colab/RunPod), API token budget, and disk space&gt;</t>
  </si>
  <si>
    <t>&lt;Week 1 milestones / Week 2 milestones / Week 3 milestones&gt;</t>
  </si>
  <si>
    <t>CS614 Gen AI with LLMs — Official Project Rubric &amp; Guidelines Reference</t>
  </si>
  <si>
    <t>Directly extracted from 'Gen AI with LLMs_ Final Group Project.pdf' for quick reference.</t>
  </si>
  <si>
    <t>1. PROFESSOR'S BASELINE CRITERIA FOR A 'B' GRADE</t>
  </si>
  <si>
    <t>Rubric Area</t>
  </si>
  <si>
    <t>Official Requirement Details</t>
  </si>
  <si>
    <t>Pass / Fail Checkpoint</t>
  </si>
  <si>
    <t>Project Scope</t>
  </si>
  <si>
    <t>Deliver a working Gen AI system or study addressing a clearly articulated real-world or domain-specific problem. Must go beyond a single assignment in scope.</t>
  </si>
  <si>
    <t>Clearly more than a 1-week homework</t>
  </si>
  <si>
    <t>Topic Integration</t>
  </si>
  <si>
    <t>Integrate at least one substantial component from class: Fine-Tuning, Advanced RAG, or Agentic LLM Orchestration.</t>
  </si>
  <si>
    <t>Covers Sessions 3/4, 6, or 7 in depth</t>
  </si>
  <si>
    <t>Technical Implementation</t>
  </si>
  <si>
    <t>Provide end-to-end implementation (scripts/notebooks + configs) that loads data, configures models, runs system/experiments, and executes an evaluation pipeline.</t>
  </si>
  <si>
    <t>Runnable code with no game-breaking bugs</t>
  </si>
  <si>
    <t>Comparative Analysis</t>
  </si>
  <si>
    <t>Compares at least TWO meaningful alternatives (e.g. baseline vs. improved system, base vs. fine-tuned model) and discusses trade-offs.</t>
  </si>
  <si>
    <t>Mandatory: Must benchmark 2+ systems</t>
  </si>
  <si>
    <t>Evaluation &amp; Analysis</t>
  </si>
  <si>
    <t>Defines and applies quantitative metrics (accuracy/F1, LLM-as-a-judge, latency/cost) AND qualitative analysis of input/output examples.</t>
  </si>
  <si>
    <t>Both numbers and human error inspection</t>
  </si>
  <si>
    <t>Reflective Analysis</t>
  </si>
  <si>
    <t>Explains what worked, what did not, why certain design choices led to observed outcomes, and at least one concrete direction for future work.</t>
  </si>
  <si>
    <t>Honest post-mortem of failure modes</t>
  </si>
  <si>
    <t>Safety &amp; Guardrails</t>
  </si>
  <si>
    <t>Identify relevant risks and implement or at least describe mitigations or guardrails to address them.</t>
  </si>
  <si>
    <t>Explicit hallucination/safety handling</t>
  </si>
  <si>
    <t>Written Report</t>
  </si>
  <si>
    <t>Concise report (approx. 10 pages maximum, not including code/appendices). Covers problem motivation, system diagram, data provenance, experimental setup, and results.</t>
  </si>
  <si>
    <t>Structured 10-page academic report</t>
  </si>
  <si>
    <t>Reproducibility</t>
  </si>
  <si>
    <t>Repository with clean README to set up environment, obtain data/models, run experiments, and fixed random seeds.</t>
  </si>
  <si>
    <t>1-command or clear setup instructions</t>
  </si>
  <si>
    <t>Teamwork &amp; Individual Accountability</t>
  </si>
  <si>
    <t>Reflects cohesive teamwork (not isolated disconnected tasks). Each team member must individually document other team members' contributions.</t>
  </si>
  <si>
    <t>Integrated system + contribution sheet</t>
  </si>
  <si>
    <t>2. HOW TO ELEVATE YOUR PROJECT TO AN 'A / A+' GRADE</t>
  </si>
  <si>
    <t>A+ Differentiator</t>
  </si>
  <si>
    <t>What Separates 'B' from 'A+'</t>
  </si>
  <si>
    <t>Practical Recommendation for Our Team</t>
  </si>
  <si>
    <t>Technical Novelty</t>
  </si>
  <si>
    <t>B-grade: Generic PDF Q&amp;A bot.
A-grade: Cutting-edge multi-agent coordination, Model Context Protocol (MCP), or dynamic hybrid routing.</t>
  </si>
  <si>
    <t>Pitch Idea 1 (MCP Agent Swarm) or Idea 2 (RAG vs QLoRA Router).</t>
  </si>
  <si>
    <t>Multi-Dimensional Trade-Offs</t>
  </si>
  <si>
    <t>B-grade: Only report accuracy on 20 questions.
A-grade: Pareto frontier benchmarking comparing Quality vs. Latency (p50/p95) vs. Token/Compute Cost ($).</t>
  </si>
  <si>
    <t>Include latency and cost measurement in our automated evaluation pipeline.</t>
  </si>
  <si>
    <t>Error Taxonomy &amp; Dissection</t>
  </si>
  <si>
    <t>B-grade: Vague statements like 'sometimes the model made mistakes'.
A-grade: Rigorous error taxonomy dissecting failure causes (e.g., context dilution, catastrophic forgetting, bad tool arguments).</t>
  </si>
  <si>
    <t>Manually inspect 50 failed queries and build a categorical breakdown table.</t>
  </si>
  <si>
    <t>Active Implemented Guardrails</t>
  </si>
  <si>
    <t>B-grade: Just mentioning ethical risks in a paragraph.
A-grade: Coded active defense layer (e.g., dedicated Critic Agent, AST validator, or Llama-Guard) with measured defense penalty.</t>
  </si>
  <si>
    <t>Measure accuracy and latency with guardrails ON vs. OFF.</t>
  </si>
  <si>
    <t>Production-Grade Engineering</t>
  </si>
  <si>
    <t>B-grade: 1 messy Jupyter Notebook with hardcoded paths.
A-grade: Modular Python codebase, config YAMLs, interactive Streamlit/FastAPI demo, and reproducible scripts.</t>
  </si>
  <si>
    <t>Provide modular scripts + clean environment setup.</t>
  </si>
  <si>
    <t>3. PROFESSOR'S SUGGESTED PROJECT ARCHETYPES (FROM GUIDE)</t>
  </si>
  <si>
    <t>Description from Guide</t>
  </si>
  <si>
    <t>Course Focus Area</t>
  </si>
  <si>
    <t>Advanced RAG System</t>
  </si>
  <si>
    <t>Build a QA assistant for a domain (e.g. regulations, textbook, company policy) with at least 1 advanced RAG method. Compare RAG methods and appropriate metrics.</t>
  </si>
  <si>
    <t>Session 6 (Advanced RAG)</t>
  </si>
  <si>
    <t>Fine-Tuned Tutor Bot</t>
  </si>
  <si>
    <t>Fine-tune an open-weight LLM on synthetic Q&amp;A pairs. Evaluate base vs fine-tuned model on a held-out problem set.</t>
  </si>
  <si>
    <t>Sessions 3 &amp; 4 (Fine-Tuning &amp; QLoRA)</t>
  </si>
  <si>
    <t>Multi-Agent Data Workflow</t>
  </si>
  <si>
    <t>Design multi-agent or tool-augmented LLM system for data analysis with at least two agent roles (e.g. analyst and auditor).</t>
  </si>
  <si>
    <t>Session 7 (Agentic Orchestration &amp; MCP)</t>
  </si>
  <si>
    <t>Fine-Tuning Comparison Study</t>
  </si>
  <si>
    <t>Study how 2-3 open-weight LLMs perform on a niche task before and after fine-tuning. Compare against API frontier model.</t>
  </si>
  <si>
    <t>Sessions 4 &amp; 5 (Benchmarking Study)</t>
  </si>
  <si>
    <t>RAG vs Fine-Tuning Study</t>
  </si>
  <si>
    <t>When is RAG better than domain-specific fine-tuning, and vice-versa? Measure accuracy, faithfulness, hallucination, and latency.</t>
  </si>
  <si>
    <t>Sessions 4, 5 &amp; 6 (Trade-Off Study)</t>
  </si>
  <si>
    <t>Robustness under Noisy Corpora</t>
  </si>
  <si>
    <t>Curate a knowledge base with outdated/conflicting/adversarial documents. Measure when basic RAG vs advanced RAG breaks.</t>
  </si>
  <si>
    <t>Session 9 (Robustness &amp; Safety)</t>
  </si>
  <si>
    <t>Agent Memory Study</t>
  </si>
  <si>
    <t>How do memory mechanisms affect long-horizon tasks? Compare no memory vs vector memory vs memory + reflection loop.</t>
  </si>
  <si>
    <t>Session 7 &amp; 8 (Agent Architecture)</t>
  </si>
  <si>
    <t>Mon</t>
  </si>
  <si>
    <t>Tue</t>
  </si>
  <si>
    <t>Wed</t>
  </si>
  <si>
    <t>Thu</t>
  </si>
  <si>
    <t>Fri</t>
  </si>
  <si>
    <t>Sat</t>
  </si>
  <si>
    <t>Sun</t>
  </si>
  <si>
    <t>Sch Week</t>
  </si>
  <si>
    <t>September</t>
  </si>
  <si>
    <t>October</t>
  </si>
  <si>
    <t>Break</t>
  </si>
  <si>
    <t>November</t>
  </si>
  <si>
    <t>QueryMate: NL-to-SQL Agent for Non-Technical Staff Access</t>
  </si>
  <si>
    <t>System</t>
  </si>
  <si>
    <t>Internal business analytics; vanilla LLMs hallucinate schema/columns and produce wrong joins without grounding, so business users wait on the data team for simple lookups</t>
  </si>
  <si>
    <t>Non-technical/business staff (ops, sales, finance) needing self-serve answers; data team (reduced ticket load).</t>
  </si>
  <si>
    <t>SQLCoder-7B or Llama-3.1-8B-Instruct (open-weight); compared against a frontier API model (Claude/GPT) via LangChain SQL agent</t>
  </si>
  <si>
    <t>Spider &amp; BIRD-SQL benchmarks (open, research-licensed) for train/eval; Chinook/Northwind sample DBs for demo; auto-generated schema docs</t>
  </si>
  <si>
    <t>LangChain/LlamaIndex SQL toolkit, Vanna.ai, pgvector/Chroma (schema embedding), Streamlit UI, sandboxed SQLite/Postgres</t>
  </si>
  <si>
    <t>Zero-shot prompt-to-SQL: no schema retrieval, no execution-validation loop</t>
  </si>
  <si>
    <t>Schema-RAG-grounded generation + execution-feedback self-correction loop + multi-agent router (query vs. clarification)</t>
  </si>
  <si>
    <t>Accuracy vs. latency (extra retrieval/validation calls); cost (frontier API vs. local open-weight model); generalization vs. schema-specific tuning</t>
  </si>
  <si>
    <t>Execution accuracy on Spider/BIRD test split, exact-match SQL accuracy, latency/query, API cost/query</t>
  </si>
  <si>
    <t>Manual review of 20–30 failure cases by error type (wrong join, wrong column, ambiguous NL); review of clarification-agent dialogues</t>
  </si>
  <si>
    <t>Spider/BIRD gold SQL + gold result sets (existing benchmark labels)</t>
  </si>
  <si>
    <t>Hallucinated columns/tables, destructive queries (DROP/DELETE), PII leakage in returned results</t>
  </si>
  <si>
    <t>Read-only DB role, column-level allowlist/PII masking, pre-execution query validation, row-limit cap, human confirmation for large exports</t>
  </si>
  <si>
    <t>Benchmark &amp; data setup: Spider/BIRD ingestion, schema documentation</t>
  </si>
  <si>
    <t>Core NL→SQL generation agent + schema-RAG retrieval</t>
  </si>
  <si>
    <t>Multi-agent orchestration: router, execution-feedback self-correction loop</t>
  </si>
  <si>
    <t>Guardrails (read-only DB, PII masking, query validation) + UI</t>
  </si>
  <si>
    <t>Evaluation harness, benchmark metrics, report &amp; deck</t>
  </si>
  <si>
    <t>Free Colab / Colab Pro T4 (if fine-tuning SQLCoder), or API credits only if using a frontier model</t>
  </si>
  <si>
    <t>~3 weeks (integration-heavy; benchmarks are ready-made); 6 weeks total incl. eval &amp; report</t>
  </si>
  <si>
    <t>Idea 4: Guardrail Harness in Banking</t>
  </si>
  <si>
    <t>SafeVault: Guardrail Harness for a Banking Tool-Using Agent</t>
  </si>
  <si>
    <t>Banking assistant agents (balance check, transfer, bill pay); vanilla tool-using agents are vulnerable to prompt injection hidden in retrieved content (e.g. fake statement/email) hijacking a money transfer.</t>
  </si>
  <si>
    <t>Retail banking customers using an AI assistant; bank engineering/risk teams needing a reusable safety layer.</t>
  </si>
  <si>
    <t>AgentDojo framework, Docker sandbox, NeMo Guardrails/LLM Guard (baseline reference), LangChain agent loop</t>
  </si>
  <si>
    <t>Raw AgentDojo banking agent: full, unscoped tool access; safety only via system-prompt instructions</t>
  </si>
  <si>
    <t>Harness: scoped/deny-by-default tool permissions, sandboxed execution, HITL approval for transfers/high-value actions, tool-output injection filter</t>
  </si>
  <si>
    <t>Attack Success Rate (baseline vs. harness), Benign Task Success Rate, HITL checkpoint precision (false-alarm rate), latency overhead/action</t>
  </si>
  <si>
    <t>4–6 annotated attack transcripts showing the hijack attempt and catch point; failure taxonomy (missed-by-filter vs. no-HITL-trigger vs. over-broad permission)</t>
  </si>
  <si>
    <t>AgentDojo's built-in attack-success labels and automated task-completion checkers</t>
  </si>
  <si>
    <t>Prompt injection causing unauthorized transfers, account-data exfiltration, over-refusal harming legitimate UX</t>
  </si>
  <si>
    <t>Capability-based tool allowlist, Docker sandbox for tool execution, mandatory human approval for transfers/irreversible actions, pre-execution scan of tool outputs for hidden instructions</t>
  </si>
  <si>
    <t>AgentDojo environment setup; run &amp; measure baseline (unprotected) banking agent</t>
  </si>
  <si>
    <t>Build tool-permission scoping + Docker sandboxing layer</t>
  </si>
  <si>
    <t>Build HITL checkpoint logic + agent orchestration</t>
  </si>
  <si>
    <t>Injection filter for tool outputs; expand/curate attack &amp; fuzzing suite</t>
  </si>
  <si>
    <t>Baseline-vs-harness experiment runs, metrics dashboard, report &amp; deck</t>
  </si>
  <si>
    <t>Free Colab/local CPU for 7–8B open-weight inference, or API credits if using a frontier model</t>
  </si>
  <si>
    <t>~3 weeks to working baseline + harness; full eval by wk 5; 6 weeks total incl. report</t>
  </si>
  <si>
    <t>Llama-3.1-8B/Mistral-7B (open-weight, deliberately smaller/older model as baseline agent brain, since newer frontier models already resist AgentDojo's stock attacks near-perfectly) vs. a frontier API model (Claude/GPT) for comparison</t>
  </si>
  <si>
    <t>AgentDojo banking task suite (open-source, benign tasks + built-in injections) as core benchmark; supplemented with a small set of hand-crafted/AgentDyn-style multi-step, dynamic-context injections, since recent work shows AgentDojo's stock attacks are becoming too easy for strong models; InjecAgent for extra variety; self-generated fuzzed/malformed inputs</t>
  </si>
  <si>
    <t>Security (attack success rate on both stock AgentDojo attacks and harder dynamic/multi-step attacks) vs. benign task completion (over-blocking) vs. added latency from HITL/filtering</t>
  </si>
  <si>
    <t>NL Query Agent for Singapore Legislative Transparency</t>
  </si>
  <si>
    <t>Citizens, journalists, and students struggle to know what Parliament actually discussed/decided or what current law says, without wading through lengthy Hansard transcripts or dense statute text.</t>
  </si>
  <si>
    <t>Singapore citizens, journalists, civics educators/students, policy researchers.</t>
  </si>
  <si>
    <t>Llama-3.1-8B/Mistral-7B (open-weight) for router + SQL generation, vs. a frontier API model (Claude/GPT) for comparison; open-weight embedding model (e.g. bge/e5) for RAG retrieval</t>
  </si>
  <si>
    <t>Singapore Parliament Hansard (sprs.parl.gov.sg, official transcripts since 1955, free; scraped, building on existing open-source Hansard scrapers as reference) for unstructured text; Singapore Statutes Online (sso.agc.gov.sg, official Act text, free) for unstructured legal text; self-extracted structured metadata (sitting dates, bill readings, parliamentary questions — topic/asking MP/ministry/date) built from Hansard in Week 1, since no ready-made structured API exists</t>
  </si>
  <si>
    <t>LangChain/LlamaIndex (router + RAG), Chroma/pgvector (vector store), Python/BeautifulSoup scraper (building on existing open-source Hansard parsers), SQLite (structured metadata), Streamlit UI</t>
  </si>
  <si>
    <t>Single RAG-only agent: stuffs Hansard + Statute text into one vector index, no structured branch, no routing</t>
  </si>
  <si>
    <t>Router agent classifies each query as structured (SQL over extracted metadata), unstructured (RAG over Hansard/Statutes), or both, with a synthesis agent combining results</t>
  </si>
  <si>
    <t>Answer precision/factual grounding vs. added complexity and latency of routing; scraping/data-engineering overhead vs. benefit of structured queryability</t>
  </si>
  <si>
    <t>Answer accuracy vs. hand-built gold Q&amp;A set (~30–40 Qs), RAG retrieval precision/recall, routing classification accuracy (structured/unstructured/both), latency/query</t>
  </si>
  <si>
    <t>Human-judge (team) rubric scoring answer relevance/factual correctness/clarity on ~20–30 test questions (easier since team understands local political/legal context); failure review by category (wrong route, hallucinated fact, incomplete synthesis)</t>
  </si>
  <si>
    <t>No public benchmark exists; team hand-builds (or use generate using an existing frontier model) a gold Q&amp;A set with source citations (Hansard sitting / Act section) as ground truth, cross-checked manually by the team</t>
  </si>
  <si>
    <t>Hallucinated claims misattributed to MPs/Ministers (misinformation risk), outdated legislation text if scrape is stale, scraper breakage if site structure changes, misquoted Hansard text</t>
  </si>
  <si>
    <t>Mandatory source citation (sitting date/Hansard link, Act &amp; section) on every generated claim, no-answer fallback when retrieval confidence is low, scheduled re-scrape/versioning check, explicit 'not legal advice' disclaimer</t>
  </si>
  <si>
    <t>Hansard scraper + structured metadata extraction (sittings, bill readings, parliamentary questions)</t>
  </si>
  <si>
    <t>Statutes Online scraper + RAG indexing pipeline (Hansard + Statutes text, chunking/embedding)</t>
  </si>
  <si>
    <t>Router agent + multi-agent orchestration + synthesis logic</t>
  </si>
  <si>
    <t>Structured/SQL query branch + guardrails (citation enforcement, confidence fallback) + UI</t>
  </si>
  <si>
    <t>Gold Q&amp;A dataset creation, evaluation harness, report &amp; deck</t>
  </si>
  <si>
    <t>Free Colab/local CPU for embedding + open-weight 7–8B inference, or API credits if using a frontier model</t>
  </si>
  <si>
    <t>~3–4 weeks to MVP (extra week vs. benchmark-based ideas for scraping/data engineering); 6 weeks total incl. eval &amp; report</t>
  </si>
  <si>
    <t>Idea 3a: Querying on SG Gov Bills (or can consider US gov)</t>
  </si>
  <si>
    <t>Idea 3: NL to DB Query Agent (no domain yet)</t>
  </si>
  <si>
    <t>Advanced RAG vs QLoRA vs Hybrid Routing for Technical APIs</t>
  </si>
  <si>
    <t>Idea 5: Multi-agent system to detect scam</t>
  </si>
  <si>
    <t>Scamshield should have dataset to use, to train model to detect scam. Agents: whether email is true. To go through gov info to validate. 
Emails / messages / calls ? Currently only have dataset on messages / smishing</t>
  </si>
  <si>
    <t>Idea 7:</t>
  </si>
  <si>
    <t>Amanda</t>
  </si>
  <si>
    <t>Xavier</t>
  </si>
  <si>
    <t>Anish</t>
  </si>
  <si>
    <t>Aryan</t>
  </si>
  <si>
    <t>Kevin</t>
  </si>
  <si>
    <t>Multi-agent that does pull-request review. Focused on SWE.
Multi-agent that reviews all pull-request before senior engineer comes in to approve. Can use dataset from hugging face</t>
  </si>
  <si>
    <t>PR Review Agent</t>
  </si>
  <si>
    <t>Scam Detector</t>
  </si>
  <si>
    <t>Idea 8:</t>
  </si>
  <si>
    <t>Quiz &amp; Tutor Agent</t>
  </si>
  <si>
    <t>Quiz &amp; Tutor Agent: An agentic learning system that uses SMU uploaded course materials to assess a student through quizzes, identify knowledge gaps, and provide targeted teaching based on their mistakes.</t>
  </si>
  <si>
    <t>Idea 6: Multi-agent Pull Request Reviewer</t>
  </si>
  <si>
    <t>UniGuide</t>
  </si>
  <si>
    <t>UniGuide: An agentic university assistant that uses academic policies, course information, and student records to answer student queries, check requirements or prerequisites, and provide guidance with supporting evidence.</t>
  </si>
  <si>
    <t>Students</t>
  </si>
  <si>
    <t>University module materials provided by the team, such as lecture slides, tutorial sheets, syllabus, reading materials, sample questions and answer keys where available. Data should come from one selected module to keep the scope manageable and ensure that quiz generation and tutoring are grounded in a controlled source set.</t>
  </si>
  <si>
    <t>Publicly available university academic regulations, programme handbooks, course catalogues, module prerequisite information, graduation requirements and FAQs. A small synthetic student-profile dataset can be created by the team to represent completed modules, credits and programme status, avoiding the use of real student personal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</si>
</sst>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5"/>
      <color rgb="FFFFFFFF"/>
      <name val="Segoe UI"/>
    </font>
    <font>
      <i/>
      <sz val="10"/>
      <color rgb="FFEDF4FA"/>
      <name val="Segoe UI"/>
    </font>
    <font>
      <b/>
      <sz val="10"/>
      <color rgb="FFFFFFFF"/>
      <name val="Segoe UI"/>
    </font>
    <font>
      <b/>
      <sz val="11"/>
      <color rgb="FFFFFFFF"/>
      <name val="Segoe UI"/>
    </font>
    <font>
      <b/>
      <sz val="10"/>
      <color rgb="FF222222"/>
      <name val="Segoe UI"/>
    </font>
    <font>
      <i/>
      <sz val="9"/>
      <color rgb="FF555555"/>
      <name val="Segoe UI"/>
    </font>
    <font>
      <sz val="10"/>
      <color rgb="FF222222"/>
      <name val="Segoe UI"/>
    </font>
    <font>
      <b/>
      <sz val="11"/>
      <color rgb="FF0D47A1"/>
      <name val="Segoe UI"/>
    </font>
    <font>
      <b/>
      <u/>
      <sz val="11"/>
      <color theme="1"/>
      <name val="Calibri"/>
      <family val="2"/>
      <scheme val="minor"/>
    </font>
    <font>
      <b/>
      <u/>
      <sz val="11"/>
      <color theme="4"/>
      <name val="Calibri"/>
      <family val="2"/>
      <scheme val="minor"/>
    </font>
    <font>
      <sz val="11"/>
      <color theme="4"/>
      <name val="Calibri"/>
      <family val="2"/>
      <scheme val="minor"/>
    </font>
    <font>
      <strike/>
      <sz val="11"/>
      <color theme="1"/>
      <name val="Calibri"/>
      <family val="2"/>
      <scheme val="minor"/>
    </font>
    <font>
      <sz val="11"/>
      <color rgb="FFFF0000"/>
      <name val="Calibri"/>
      <family val="2"/>
      <scheme val="minor"/>
    </font>
    <font>
      <sz val="11"/>
      <color theme="1"/>
      <name val="Calibri"/>
      <family val="2"/>
      <charset val="1"/>
    </font>
    <font>
      <sz val="10"/>
      <color rgb="FF222222"/>
      <name val="Segoe UI"/>
      <charset val="1"/>
    </font>
    <font>
      <b/>
      <sz val="10"/>
      <color rgb="FFFFFFFF"/>
      <name val="Segoe UI"/>
      <family val="2"/>
    </font>
    <font>
      <sz val="10"/>
      <color rgb="FF222222"/>
      <name val="Segoe UI"/>
      <family val="2"/>
    </font>
    <font>
      <b/>
      <sz val="10"/>
      <color rgb="FF222222"/>
      <name val="Segoe UI"/>
      <family val="2"/>
    </font>
    <font>
      <b/>
      <sz val="11"/>
      <color rgb="FF0D47A1"/>
      <name val="Segoe UI"/>
      <family val="2"/>
    </font>
  </fonts>
  <fills count="11">
    <fill>
      <patternFill patternType="none"/>
    </fill>
    <fill>
      <patternFill patternType="gray125"/>
    </fill>
    <fill>
      <patternFill patternType="solid">
        <fgColor rgb="FF1B365D"/>
        <bgColor rgb="FF1B365D"/>
      </patternFill>
    </fill>
    <fill>
      <patternFill patternType="solid">
        <fgColor rgb="FF2E5B88"/>
        <bgColor rgb="FF2E5B88"/>
      </patternFill>
    </fill>
    <fill>
      <patternFill patternType="solid">
        <fgColor rgb="FFEDF4FA"/>
        <bgColor rgb="FFEDF4FA"/>
      </patternFill>
    </fill>
    <fill>
      <patternFill patternType="solid">
        <fgColor rgb="FFF8FAFC"/>
        <bgColor rgb="FFF8FAFC"/>
      </patternFill>
    </fill>
    <fill>
      <patternFill patternType="solid">
        <fgColor rgb="FFE6F4EA"/>
        <bgColor rgb="FFE6F4EA"/>
      </patternFill>
    </fill>
    <fill>
      <patternFill patternType="solid">
        <fgColor rgb="FFFEF3C7"/>
        <bgColor rgb="FFFEF3C7"/>
      </patternFill>
    </fill>
    <fill>
      <patternFill patternType="solid">
        <fgColor theme="9" tint="0.59999389629810485"/>
        <bgColor indexed="64"/>
      </patternFill>
    </fill>
    <fill>
      <patternFill patternType="solid">
        <fgColor rgb="FFF8FAFC"/>
        <bgColor rgb="FFFFFFFF"/>
      </patternFill>
    </fill>
    <fill>
      <patternFill patternType="solid">
        <fgColor rgb="FFFFFF00"/>
        <bgColor indexed="64"/>
      </patternFill>
    </fill>
  </fills>
  <borders count="8">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double">
        <color rgb="FF1B365D"/>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D1D5DB"/>
      </left>
      <right style="thin">
        <color rgb="FFD1D5DB"/>
      </right>
      <top/>
      <bottom/>
      <diagonal/>
    </border>
  </borders>
  <cellStyleXfs count="2">
    <xf numFmtId="0" fontId="0" fillId="0" borderId="0"/>
    <xf numFmtId="0" fontId="14" fillId="0" borderId="0"/>
  </cellStyleXfs>
  <cellXfs count="44">
    <xf numFmtId="0" fontId="0" fillId="0" borderId="0" xfId="0"/>
    <xf numFmtId="0" fontId="3" fillId="2"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5" fillId="6"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8" fillId="7" borderId="2" xfId="0" applyFont="1" applyFill="1" applyBorder="1" applyAlignment="1">
      <alignment horizontal="center" vertical="center" wrapText="1"/>
    </xf>
    <xf numFmtId="0" fontId="5" fillId="6" borderId="1" xfId="0" applyFont="1" applyFill="1" applyBorder="1" applyAlignment="1">
      <alignment horizontal="left" vertical="top" wrapText="1"/>
    </xf>
    <xf numFmtId="0" fontId="0" fillId="0" borderId="0" xfId="0" applyAlignment="1">
      <alignment horizontal="center"/>
    </xf>
    <xf numFmtId="0" fontId="9" fillId="0" borderId="0" xfId="0" applyFont="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3" xfId="0" applyBorder="1" applyAlignment="1">
      <alignment horizontal="center"/>
    </xf>
    <xf numFmtId="0" fontId="0" fillId="8" borderId="5" xfId="0" applyFill="1" applyBorder="1" applyAlignment="1">
      <alignment horizontal="center"/>
    </xf>
    <xf numFmtId="0" fontId="10" fillId="0" borderId="0" xfId="0" applyFont="1" applyAlignment="1">
      <alignment horizontal="center"/>
    </xf>
    <xf numFmtId="0" fontId="11" fillId="0" borderId="0" xfId="0" applyFont="1" applyAlignment="1">
      <alignment horizontal="center"/>
    </xf>
    <xf numFmtId="0" fontId="12" fillId="0" borderId="4" xfId="0" applyFont="1" applyBorder="1" applyAlignment="1">
      <alignment horizontal="center"/>
    </xf>
    <xf numFmtId="0" fontId="12" fillId="0" borderId="5" xfId="0" applyFont="1" applyBorder="1" applyAlignment="1">
      <alignment horizontal="center"/>
    </xf>
    <xf numFmtId="0" fontId="0" fillId="0" borderId="1" xfId="0" applyBorder="1"/>
    <xf numFmtId="0" fontId="15" fillId="9" borderId="1" xfId="1" applyFont="1" applyFill="1" applyBorder="1" applyAlignment="1">
      <alignment horizontal="left" vertical="top" wrapText="1"/>
    </xf>
    <xf numFmtId="0" fontId="15" fillId="9" borderId="1" xfId="0" applyFont="1" applyFill="1" applyBorder="1" applyAlignment="1">
      <alignment horizontal="left" vertical="top" wrapText="1"/>
    </xf>
    <xf numFmtId="0" fontId="15" fillId="0" borderId="1" xfId="0" applyFont="1" applyBorder="1" applyAlignment="1">
      <alignment horizontal="left" vertical="top" wrapText="1"/>
    </xf>
    <xf numFmtId="0" fontId="16" fillId="2" borderId="1" xfId="0" applyFont="1" applyFill="1" applyBorder="1" applyAlignment="1">
      <alignment horizontal="center" vertical="center" wrapText="1"/>
    </xf>
    <xf numFmtId="0" fontId="17" fillId="0" borderId="1" xfId="0" applyFont="1" applyBorder="1" applyAlignment="1">
      <alignment horizontal="left" vertical="top" wrapText="1"/>
    </xf>
    <xf numFmtId="0" fontId="17" fillId="5" borderId="1" xfId="0" applyFont="1" applyFill="1" applyBorder="1" applyAlignment="1">
      <alignment horizontal="left" vertical="top" wrapText="1"/>
    </xf>
    <xf numFmtId="0" fontId="18" fillId="0" borderId="1" xfId="0" applyFont="1" applyBorder="1" applyAlignment="1">
      <alignment horizontal="center" vertical="center" wrapText="1"/>
    </xf>
    <xf numFmtId="0" fontId="19" fillId="7" borderId="2" xfId="0" applyFont="1" applyFill="1" applyBorder="1" applyAlignment="1">
      <alignment horizontal="center" vertical="center" wrapText="1"/>
    </xf>
    <xf numFmtId="0" fontId="4" fillId="3" borderId="1" xfId="0" applyFont="1" applyFill="1" applyBorder="1" applyAlignment="1">
      <alignment vertical="center"/>
    </xf>
    <xf numFmtId="0" fontId="18" fillId="4" borderId="0" xfId="0" applyFont="1" applyFill="1" applyAlignment="1">
      <alignment horizontal="left" vertical="top" wrapText="1"/>
    </xf>
    <xf numFmtId="0" fontId="17" fillId="5" borderId="7" xfId="0" applyFont="1" applyFill="1" applyBorder="1" applyAlignment="1">
      <alignment horizontal="left" vertical="top" wrapText="1"/>
    </xf>
    <xf numFmtId="0" fontId="0" fillId="0" borderId="0" xfId="0" applyAlignment="1">
      <alignment vertical="top"/>
    </xf>
    <xf numFmtId="0" fontId="0" fillId="0" borderId="0" xfId="0" applyAlignment="1">
      <alignment horizontal="left" vertical="top" wrapText="1"/>
    </xf>
    <xf numFmtId="0" fontId="0" fillId="10" borderId="0" xfId="0" applyFill="1"/>
    <xf numFmtId="0" fontId="1" fillId="2" borderId="0" xfId="0" applyFont="1" applyFill="1" applyAlignment="1">
      <alignment horizontal="left" vertical="center" indent="1"/>
    </xf>
    <xf numFmtId="0" fontId="0" fillId="0" borderId="0" xfId="0"/>
    <xf numFmtId="0" fontId="2" fillId="3" borderId="0" xfId="0" applyFont="1" applyFill="1" applyAlignment="1">
      <alignment horizontal="left" vertical="center" indent="1"/>
    </xf>
    <xf numFmtId="0" fontId="4" fillId="3" borderId="1" xfId="0" applyFont="1" applyFill="1" applyBorder="1" applyAlignment="1">
      <alignment horizontal="left" vertical="center" indent="1"/>
    </xf>
    <xf numFmtId="0" fontId="0" fillId="0" borderId="1" xfId="0" applyBorder="1"/>
    <xf numFmtId="0" fontId="13" fillId="0" borderId="5" xfId="0" applyFont="1" applyBorder="1" applyAlignment="1">
      <alignment horizontal="center"/>
    </xf>
    <xf numFmtId="0" fontId="12" fillId="0" borderId="6" xfId="0" applyFont="1" applyBorder="1" applyAlignment="1">
      <alignment horizontal="center"/>
    </xf>
  </cellXfs>
  <cellStyles count="2">
    <cellStyle name="Normal" xfId="0" builtinId="0"/>
    <cellStyle name="Normal 2" xfId="1" xr:uid="{A2B78ADC-6611-490B-BD91-D122F8428EC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manda TAN Sock Yee" id="{FC71527F-779A-4A1F-AF11-5074ED387B9A}" userId="S::sytan.2025@mitb.smu.edu.sg::1bedc7a3-388a-448b-96b5-72ec389829e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3" dT="2026-09-26T17:46:06.90" personId="{FC71527F-779A-4A1F-AF11-5074ED387B9A}" id="{B361E19E-5B2A-4275-8E1E-373CE9E12080}">
    <text>AgentDojo may be outdated / saturated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
  <sheetViews>
    <sheetView tabSelected="1" zoomScale="85" zoomScaleNormal="85" workbookViewId="0">
      <pane xSplit="1" ySplit="4" topLeftCell="G5" activePane="bottomRight" state="frozen"/>
      <selection pane="topRight" activeCell="B1" sqref="B1"/>
      <selection pane="bottomLeft" activeCell="A5" sqref="A5"/>
      <selection pane="bottomRight" activeCell="B5" sqref="B5"/>
    </sheetView>
  </sheetViews>
  <sheetFormatPr defaultColWidth="8.81640625" defaultRowHeight="14.5" x14ac:dyDescent="0.35"/>
  <cols>
    <col min="1" max="1" width="28" customWidth="1"/>
    <col min="2" max="2" width="36" customWidth="1"/>
    <col min="3" max="4" width="42" customWidth="1"/>
    <col min="5" max="6" width="40.453125" customWidth="1"/>
    <col min="7" max="7" width="37.54296875" customWidth="1"/>
    <col min="8" max="8" width="35" customWidth="1"/>
    <col min="9" max="9" width="33.36328125" customWidth="1"/>
    <col min="10" max="10" width="37.81640625" customWidth="1"/>
    <col min="11" max="11" width="41.7265625" customWidth="1"/>
  </cols>
  <sheetData>
    <row r="1" spans="1:11" ht="22.5" x14ac:dyDescent="0.35">
      <c r="A1" s="37" t="s">
        <v>0</v>
      </c>
      <c r="B1" s="38"/>
      <c r="C1" s="38"/>
      <c r="D1" s="38"/>
      <c r="E1" s="38"/>
      <c r="F1" s="38"/>
      <c r="G1" s="38"/>
      <c r="H1" s="38"/>
    </row>
    <row r="2" spans="1:11" ht="22" customHeight="1" x14ac:dyDescent="0.35">
      <c r="A2" s="39" t="s">
        <v>1</v>
      </c>
      <c r="B2" s="38"/>
      <c r="C2" s="38"/>
      <c r="D2" s="38"/>
      <c r="E2" s="38"/>
      <c r="F2" s="38"/>
      <c r="G2" s="38"/>
      <c r="H2" s="38"/>
    </row>
    <row r="3" spans="1:11" ht="10" customHeight="1" x14ac:dyDescent="0.35"/>
    <row r="4" spans="1:11" ht="32.15" customHeight="1" x14ac:dyDescent="0.35">
      <c r="A4" s="1" t="s">
        <v>2</v>
      </c>
      <c r="B4" s="1" t="s">
        <v>3</v>
      </c>
      <c r="C4" s="1" t="s">
        <v>4</v>
      </c>
      <c r="D4" s="1" t="s">
        <v>5</v>
      </c>
      <c r="E4" s="1" t="s">
        <v>458</v>
      </c>
      <c r="F4" s="1" t="s">
        <v>457</v>
      </c>
      <c r="G4" s="1" t="s">
        <v>414</v>
      </c>
      <c r="H4" s="26" t="s">
        <v>460</v>
      </c>
      <c r="I4" s="26" t="s">
        <v>474</v>
      </c>
      <c r="J4" s="26" t="s">
        <v>462</v>
      </c>
      <c r="K4" s="26" t="s">
        <v>471</v>
      </c>
    </row>
    <row r="5" spans="1:11" ht="16.5" x14ac:dyDescent="0.35">
      <c r="A5" s="31" t="s">
        <v>6</v>
      </c>
      <c r="B5" s="22"/>
      <c r="C5" s="22"/>
      <c r="D5" s="22"/>
      <c r="E5" s="22"/>
      <c r="F5" s="22"/>
      <c r="G5" s="22"/>
      <c r="H5" s="22"/>
    </row>
    <row r="6" spans="1:11" ht="42" customHeight="1" x14ac:dyDescent="0.35">
      <c r="A6" s="2" t="s">
        <v>7</v>
      </c>
      <c r="B6" s="3" t="s">
        <v>8</v>
      </c>
      <c r="C6" s="4" t="s">
        <v>9</v>
      </c>
      <c r="D6" s="4" t="s">
        <v>459</v>
      </c>
      <c r="E6" s="4" t="s">
        <v>392</v>
      </c>
      <c r="F6" s="23" t="s">
        <v>436</v>
      </c>
      <c r="G6" s="4" t="s">
        <v>415</v>
      </c>
      <c r="H6" s="4" t="s">
        <v>470</v>
      </c>
      <c r="I6" s="28" t="s">
        <v>469</v>
      </c>
      <c r="J6" s="28" t="s">
        <v>472</v>
      </c>
      <c r="K6" s="28" t="s">
        <v>475</v>
      </c>
    </row>
    <row r="7" spans="1:11" ht="42" customHeight="1" x14ac:dyDescent="0.35">
      <c r="A7" s="2" t="s">
        <v>10</v>
      </c>
      <c r="B7" s="5" t="s">
        <v>11</v>
      </c>
      <c r="C7" s="6" t="s">
        <v>12</v>
      </c>
      <c r="D7" s="6" t="s">
        <v>13</v>
      </c>
      <c r="E7" s="6" t="s">
        <v>393</v>
      </c>
      <c r="F7" s="6" t="s">
        <v>393</v>
      </c>
      <c r="G7" s="6" t="s">
        <v>393</v>
      </c>
      <c r="H7" s="27" t="s">
        <v>393</v>
      </c>
      <c r="I7" s="34" t="s">
        <v>393</v>
      </c>
      <c r="J7" s="34" t="s">
        <v>393</v>
      </c>
      <c r="K7" s="34" t="s">
        <v>393</v>
      </c>
    </row>
    <row r="8" spans="1:11" ht="126" customHeight="1" x14ac:dyDescent="0.35">
      <c r="A8" s="2" t="s">
        <v>14</v>
      </c>
      <c r="B8" s="3" t="s">
        <v>15</v>
      </c>
      <c r="C8" s="4" t="s">
        <v>16</v>
      </c>
      <c r="D8" s="4" t="s">
        <v>17</v>
      </c>
      <c r="E8" s="4" t="s">
        <v>394</v>
      </c>
      <c r="F8" s="24" t="s">
        <v>437</v>
      </c>
      <c r="G8" s="28" t="s">
        <v>416</v>
      </c>
      <c r="H8" s="28" t="s">
        <v>461</v>
      </c>
      <c r="I8" s="35" t="s">
        <v>468</v>
      </c>
      <c r="J8" s="33" t="s">
        <v>473</v>
      </c>
      <c r="K8" s="33" t="s">
        <v>476</v>
      </c>
    </row>
    <row r="9" spans="1:11" ht="48.75" customHeight="1" x14ac:dyDescent="0.35">
      <c r="A9" s="2" t="s">
        <v>18</v>
      </c>
      <c r="B9" s="5" t="s">
        <v>19</v>
      </c>
      <c r="C9" s="6" t="s">
        <v>20</v>
      </c>
      <c r="D9" s="6" t="s">
        <v>21</v>
      </c>
      <c r="E9" s="6" t="s">
        <v>395</v>
      </c>
      <c r="F9" s="25" t="s">
        <v>438</v>
      </c>
      <c r="G9" s="6" t="s">
        <v>417</v>
      </c>
      <c r="H9" s="6" t="s">
        <v>22</v>
      </c>
      <c r="I9" s="27" t="s">
        <v>22</v>
      </c>
      <c r="J9" s="27" t="s">
        <v>477</v>
      </c>
      <c r="K9" s="27" t="s">
        <v>477</v>
      </c>
    </row>
    <row r="10" spans="1:11" ht="24" customHeight="1" x14ac:dyDescent="0.35">
      <c r="A10" s="31" t="s">
        <v>23</v>
      </c>
      <c r="B10" s="22"/>
      <c r="C10" s="22"/>
      <c r="D10" s="22"/>
      <c r="E10" s="22"/>
      <c r="F10" s="22"/>
      <c r="G10" s="22"/>
      <c r="H10" s="22"/>
    </row>
    <row r="11" spans="1:11" ht="96" x14ac:dyDescent="0.35">
      <c r="A11" s="2" t="s">
        <v>24</v>
      </c>
      <c r="B11" s="5" t="s">
        <v>25</v>
      </c>
      <c r="C11" s="6" t="s">
        <v>26</v>
      </c>
      <c r="D11" s="6" t="s">
        <v>27</v>
      </c>
      <c r="E11" s="6"/>
      <c r="F11" s="6"/>
      <c r="G11" s="6"/>
      <c r="H11" s="6" t="s">
        <v>28</v>
      </c>
      <c r="I11" s="27" t="s">
        <v>28</v>
      </c>
      <c r="J11" s="27" t="s">
        <v>26</v>
      </c>
      <c r="K11" s="27" t="s">
        <v>26</v>
      </c>
    </row>
    <row r="12" spans="1:11" ht="96" x14ac:dyDescent="0.35">
      <c r="A12" s="2" t="s">
        <v>29</v>
      </c>
      <c r="B12" s="3" t="s">
        <v>30</v>
      </c>
      <c r="C12" s="4" t="s">
        <v>31</v>
      </c>
      <c r="D12" s="4" t="s">
        <v>32</v>
      </c>
      <c r="E12" s="4" t="s">
        <v>396</v>
      </c>
      <c r="F12" s="24" t="s">
        <v>439</v>
      </c>
      <c r="G12" s="4" t="s">
        <v>433</v>
      </c>
      <c r="H12" s="4" t="s">
        <v>33</v>
      </c>
      <c r="I12" s="28" t="s">
        <v>33</v>
      </c>
      <c r="J12" s="28" t="s">
        <v>33</v>
      </c>
      <c r="K12" s="28" t="s">
        <v>33</v>
      </c>
    </row>
    <row r="13" spans="1:11" ht="176" x14ac:dyDescent="0.35">
      <c r="A13" s="2" t="s">
        <v>34</v>
      </c>
      <c r="B13" s="5" t="s">
        <v>35</v>
      </c>
      <c r="C13" s="6" t="s">
        <v>36</v>
      </c>
      <c r="D13" s="6" t="s">
        <v>37</v>
      </c>
      <c r="E13" s="6" t="s">
        <v>397</v>
      </c>
      <c r="F13" s="25" t="s">
        <v>440</v>
      </c>
      <c r="G13" s="6" t="s">
        <v>434</v>
      </c>
      <c r="H13" s="6" t="s">
        <v>38</v>
      </c>
      <c r="I13" s="27" t="s">
        <v>38</v>
      </c>
      <c r="J13" s="27" t="s">
        <v>478</v>
      </c>
      <c r="K13" s="27" t="s">
        <v>479</v>
      </c>
    </row>
    <row r="14" spans="1:11" ht="64.5" customHeight="1" x14ac:dyDescent="0.35">
      <c r="A14" s="2" t="s">
        <v>39</v>
      </c>
      <c r="B14" s="3" t="s">
        <v>40</v>
      </c>
      <c r="C14" s="4" t="s">
        <v>41</v>
      </c>
      <c r="D14" s="4" t="s">
        <v>42</v>
      </c>
      <c r="E14" s="4" t="s">
        <v>398</v>
      </c>
      <c r="F14" s="24" t="s">
        <v>441</v>
      </c>
      <c r="G14" s="4" t="s">
        <v>418</v>
      </c>
      <c r="H14" s="4" t="s">
        <v>43</v>
      </c>
      <c r="I14" s="28" t="s">
        <v>43</v>
      </c>
      <c r="J14" s="28" t="s">
        <v>43</v>
      </c>
      <c r="K14" s="28" t="s">
        <v>43</v>
      </c>
    </row>
    <row r="15" spans="1:11" ht="24" customHeight="1" x14ac:dyDescent="0.35">
      <c r="A15" s="31" t="s">
        <v>44</v>
      </c>
      <c r="B15" s="22"/>
      <c r="C15" s="22"/>
      <c r="D15" s="22"/>
      <c r="E15" s="22"/>
      <c r="F15" s="22"/>
      <c r="G15" s="22"/>
      <c r="H15" s="22"/>
    </row>
    <row r="16" spans="1:11" ht="48" x14ac:dyDescent="0.35">
      <c r="A16" s="2" t="s">
        <v>45</v>
      </c>
      <c r="B16" s="3" t="s">
        <v>46</v>
      </c>
      <c r="C16" s="4" t="s">
        <v>47</v>
      </c>
      <c r="D16" s="4" t="s">
        <v>48</v>
      </c>
      <c r="E16" s="4" t="s">
        <v>399</v>
      </c>
      <c r="F16" s="24" t="s">
        <v>442</v>
      </c>
      <c r="G16" s="4" t="s">
        <v>419</v>
      </c>
      <c r="H16" s="4" t="s">
        <v>49</v>
      </c>
      <c r="I16" s="28" t="s">
        <v>49</v>
      </c>
      <c r="J16" s="28" t="s">
        <v>49</v>
      </c>
      <c r="K16" s="28" t="s">
        <v>49</v>
      </c>
    </row>
    <row r="17" spans="1:11" ht="64" x14ac:dyDescent="0.35">
      <c r="A17" s="2" t="s">
        <v>50</v>
      </c>
      <c r="B17" s="5" t="s">
        <v>51</v>
      </c>
      <c r="C17" s="6" t="s">
        <v>52</v>
      </c>
      <c r="D17" s="6" t="s">
        <v>53</v>
      </c>
      <c r="E17" s="6" t="s">
        <v>400</v>
      </c>
      <c r="F17" s="27" t="s">
        <v>443</v>
      </c>
      <c r="G17" s="6" t="s">
        <v>420</v>
      </c>
      <c r="H17" s="6" t="s">
        <v>54</v>
      </c>
      <c r="I17" s="27" t="s">
        <v>54</v>
      </c>
      <c r="J17" s="27" t="s">
        <v>54</v>
      </c>
      <c r="K17" s="27" t="s">
        <v>54</v>
      </c>
    </row>
    <row r="18" spans="1:11" ht="42" customHeight="1" x14ac:dyDescent="0.35">
      <c r="A18" s="2" t="s">
        <v>55</v>
      </c>
      <c r="B18" s="3" t="s">
        <v>56</v>
      </c>
      <c r="C18" s="4" t="s">
        <v>57</v>
      </c>
      <c r="D18" s="4" t="s">
        <v>58</v>
      </c>
      <c r="E18" s="4"/>
      <c r="F18" s="25"/>
      <c r="G18" s="4"/>
      <c r="H18" s="4" t="s">
        <v>59</v>
      </c>
      <c r="I18" s="28" t="s">
        <v>59</v>
      </c>
      <c r="J18" s="28" t="s">
        <v>59</v>
      </c>
      <c r="K18" s="28" t="s">
        <v>59</v>
      </c>
    </row>
    <row r="19" spans="1:11" ht="93" customHeight="1" x14ac:dyDescent="0.35">
      <c r="A19" s="2" t="s">
        <v>60</v>
      </c>
      <c r="B19" s="5" t="s">
        <v>61</v>
      </c>
      <c r="C19" s="6" t="s">
        <v>62</v>
      </c>
      <c r="D19" s="6" t="s">
        <v>63</v>
      </c>
      <c r="E19" s="6" t="s">
        <v>401</v>
      </c>
      <c r="F19" s="25" t="s">
        <v>444</v>
      </c>
      <c r="G19" s="6" t="s">
        <v>435</v>
      </c>
      <c r="H19" s="6" t="s">
        <v>64</v>
      </c>
      <c r="I19" s="27" t="s">
        <v>64</v>
      </c>
      <c r="J19" s="27" t="s">
        <v>64</v>
      </c>
      <c r="K19" s="27" t="s">
        <v>64</v>
      </c>
    </row>
    <row r="20" spans="1:11" ht="24" customHeight="1" x14ac:dyDescent="0.35">
      <c r="A20" s="31" t="s">
        <v>65</v>
      </c>
      <c r="B20" s="22"/>
      <c r="C20" s="22"/>
      <c r="D20" s="22"/>
      <c r="E20" s="22"/>
      <c r="F20" s="22"/>
      <c r="G20" s="22"/>
      <c r="H20" s="22"/>
    </row>
    <row r="21" spans="1:11" ht="71.25" customHeight="1" x14ac:dyDescent="0.35">
      <c r="A21" s="2" t="s">
        <v>66</v>
      </c>
      <c r="B21" s="5" t="s">
        <v>67</v>
      </c>
      <c r="C21" s="6" t="s">
        <v>68</v>
      </c>
      <c r="D21" s="6" t="s">
        <v>69</v>
      </c>
      <c r="E21" s="6" t="s">
        <v>402</v>
      </c>
      <c r="F21" s="25" t="s">
        <v>445</v>
      </c>
      <c r="G21" s="6" t="s">
        <v>421</v>
      </c>
      <c r="H21" s="6" t="s">
        <v>70</v>
      </c>
      <c r="I21" s="27" t="s">
        <v>70</v>
      </c>
      <c r="J21" s="27" t="s">
        <v>70</v>
      </c>
      <c r="K21" s="27" t="s">
        <v>70</v>
      </c>
    </row>
    <row r="22" spans="1:11" ht="96" x14ac:dyDescent="0.35">
      <c r="A22" s="2" t="s">
        <v>71</v>
      </c>
      <c r="B22" s="3" t="s">
        <v>72</v>
      </c>
      <c r="C22" s="4" t="s">
        <v>73</v>
      </c>
      <c r="D22" s="4" t="s">
        <v>74</v>
      </c>
      <c r="E22" s="4" t="s">
        <v>403</v>
      </c>
      <c r="F22" s="24" t="s">
        <v>446</v>
      </c>
      <c r="G22" s="4" t="s">
        <v>422</v>
      </c>
      <c r="H22" s="4" t="s">
        <v>75</v>
      </c>
      <c r="I22" s="28" t="s">
        <v>75</v>
      </c>
      <c r="J22" s="28" t="s">
        <v>75</v>
      </c>
      <c r="K22" s="28" t="s">
        <v>75</v>
      </c>
    </row>
    <row r="23" spans="1:11" ht="80" x14ac:dyDescent="0.35">
      <c r="A23" s="2" t="s">
        <v>76</v>
      </c>
      <c r="B23" s="5" t="s">
        <v>77</v>
      </c>
      <c r="C23" s="6" t="s">
        <v>78</v>
      </c>
      <c r="D23" s="6" t="s">
        <v>79</v>
      </c>
      <c r="E23" s="6" t="s">
        <v>404</v>
      </c>
      <c r="F23" s="25" t="s">
        <v>447</v>
      </c>
      <c r="G23" s="6" t="s">
        <v>423</v>
      </c>
      <c r="H23" s="6" t="s">
        <v>80</v>
      </c>
      <c r="I23" s="27" t="s">
        <v>80</v>
      </c>
      <c r="J23" s="27" t="s">
        <v>80</v>
      </c>
      <c r="K23" s="27" t="s">
        <v>80</v>
      </c>
    </row>
    <row r="24" spans="1:11" ht="24" customHeight="1" x14ac:dyDescent="0.35">
      <c r="A24" s="31" t="s">
        <v>81</v>
      </c>
      <c r="B24" s="22"/>
      <c r="C24" s="22"/>
      <c r="D24" s="22"/>
      <c r="E24" s="22"/>
      <c r="F24" s="22"/>
      <c r="G24" s="22"/>
      <c r="H24" s="22"/>
    </row>
    <row r="25" spans="1:11" ht="64" x14ac:dyDescent="0.35">
      <c r="A25" s="2" t="s">
        <v>82</v>
      </c>
      <c r="B25" s="5" t="s">
        <v>83</v>
      </c>
      <c r="C25" s="6" t="s">
        <v>84</v>
      </c>
      <c r="D25" s="6" t="s">
        <v>85</v>
      </c>
      <c r="E25" s="6" t="s">
        <v>405</v>
      </c>
      <c r="F25" s="25" t="s">
        <v>448</v>
      </c>
      <c r="G25" s="6" t="s">
        <v>424</v>
      </c>
      <c r="H25" s="6" t="s">
        <v>86</v>
      </c>
      <c r="I25" s="27" t="s">
        <v>86</v>
      </c>
      <c r="J25" s="27" t="s">
        <v>86</v>
      </c>
      <c r="K25" s="27" t="s">
        <v>86</v>
      </c>
    </row>
    <row r="26" spans="1:11" ht="80" x14ac:dyDescent="0.35">
      <c r="A26" s="2" t="s">
        <v>87</v>
      </c>
      <c r="B26" s="3" t="s">
        <v>88</v>
      </c>
      <c r="C26" s="4" t="s">
        <v>89</v>
      </c>
      <c r="D26" s="4" t="s">
        <v>90</v>
      </c>
      <c r="E26" s="4" t="s">
        <v>406</v>
      </c>
      <c r="F26" s="24" t="s">
        <v>449</v>
      </c>
      <c r="G26" s="4" t="s">
        <v>425</v>
      </c>
      <c r="H26" s="4" t="s">
        <v>91</v>
      </c>
      <c r="I26" s="28" t="s">
        <v>91</v>
      </c>
      <c r="J26" s="28" t="s">
        <v>91</v>
      </c>
      <c r="K26" s="28" t="s">
        <v>91</v>
      </c>
    </row>
    <row r="27" spans="1:11" ht="24" customHeight="1" x14ac:dyDescent="0.35">
      <c r="A27" s="31" t="s">
        <v>92</v>
      </c>
      <c r="B27" s="22"/>
      <c r="C27" s="22"/>
      <c r="D27" s="22"/>
      <c r="E27" s="22"/>
      <c r="F27" s="22"/>
      <c r="G27" s="22"/>
      <c r="H27" s="22"/>
    </row>
    <row r="28" spans="1:11" ht="48" x14ac:dyDescent="0.35">
      <c r="A28" s="2" t="s">
        <v>93</v>
      </c>
      <c r="B28" s="3" t="s">
        <v>94</v>
      </c>
      <c r="C28" s="4" t="s">
        <v>95</v>
      </c>
      <c r="D28" s="4" t="s">
        <v>96</v>
      </c>
      <c r="E28" s="4" t="s">
        <v>407</v>
      </c>
      <c r="F28" s="24" t="s">
        <v>450</v>
      </c>
      <c r="G28" s="4" t="s">
        <v>426</v>
      </c>
      <c r="H28" s="4" t="s">
        <v>97</v>
      </c>
      <c r="I28" s="28" t="s">
        <v>97</v>
      </c>
      <c r="J28" s="28" t="s">
        <v>97</v>
      </c>
      <c r="K28" s="28" t="s">
        <v>97</v>
      </c>
    </row>
    <row r="29" spans="1:11" ht="42" customHeight="1" x14ac:dyDescent="0.35">
      <c r="A29" s="2" t="s">
        <v>98</v>
      </c>
      <c r="B29" s="5" t="s">
        <v>99</v>
      </c>
      <c r="C29" s="6" t="s">
        <v>100</v>
      </c>
      <c r="D29" s="6" t="s">
        <v>101</v>
      </c>
      <c r="E29" s="6" t="s">
        <v>408</v>
      </c>
      <c r="F29" s="25" t="s">
        <v>451</v>
      </c>
      <c r="G29" s="6" t="s">
        <v>427</v>
      </c>
      <c r="H29" s="6" t="s">
        <v>102</v>
      </c>
      <c r="I29" s="27" t="s">
        <v>102</v>
      </c>
      <c r="J29" s="27" t="s">
        <v>102</v>
      </c>
      <c r="K29" s="27" t="s">
        <v>102</v>
      </c>
    </row>
    <row r="30" spans="1:11" ht="42" customHeight="1" x14ac:dyDescent="0.35">
      <c r="A30" s="2" t="s">
        <v>103</v>
      </c>
      <c r="B30" s="3" t="s">
        <v>104</v>
      </c>
      <c r="C30" s="4" t="s">
        <v>105</v>
      </c>
      <c r="D30" s="4" t="s">
        <v>106</v>
      </c>
      <c r="E30" s="4" t="s">
        <v>409</v>
      </c>
      <c r="F30" s="24" t="s">
        <v>452</v>
      </c>
      <c r="G30" s="4" t="s">
        <v>428</v>
      </c>
      <c r="H30" s="4" t="s">
        <v>107</v>
      </c>
      <c r="I30" s="28" t="s">
        <v>107</v>
      </c>
      <c r="J30" s="28" t="s">
        <v>107</v>
      </c>
      <c r="K30" s="28" t="s">
        <v>107</v>
      </c>
    </row>
    <row r="31" spans="1:11" ht="42" customHeight="1" x14ac:dyDescent="0.35">
      <c r="A31" s="2" t="s">
        <v>108</v>
      </c>
      <c r="B31" s="5" t="s">
        <v>109</v>
      </c>
      <c r="C31" s="6" t="s">
        <v>110</v>
      </c>
      <c r="D31" s="6" t="s">
        <v>111</v>
      </c>
      <c r="E31" s="6" t="s">
        <v>410</v>
      </c>
      <c r="F31" s="25" t="s">
        <v>453</v>
      </c>
      <c r="G31" s="6" t="s">
        <v>429</v>
      </c>
      <c r="H31" s="6" t="s">
        <v>112</v>
      </c>
      <c r="I31" s="27" t="s">
        <v>112</v>
      </c>
      <c r="J31" s="27" t="s">
        <v>112</v>
      </c>
      <c r="K31" s="27" t="s">
        <v>112</v>
      </c>
    </row>
    <row r="32" spans="1:11" ht="42" customHeight="1" x14ac:dyDescent="0.35">
      <c r="A32" s="2" t="s">
        <v>113</v>
      </c>
      <c r="B32" s="3" t="s">
        <v>114</v>
      </c>
      <c r="C32" s="4" t="s">
        <v>115</v>
      </c>
      <c r="D32" s="4" t="s">
        <v>116</v>
      </c>
      <c r="E32" s="4" t="s">
        <v>411</v>
      </c>
      <c r="F32" s="24" t="s">
        <v>454</v>
      </c>
      <c r="G32" s="4" t="s">
        <v>430</v>
      </c>
      <c r="H32" s="4" t="s">
        <v>117</v>
      </c>
      <c r="I32" s="28" t="s">
        <v>117</v>
      </c>
      <c r="J32" s="28" t="s">
        <v>117</v>
      </c>
      <c r="K32" s="28" t="s">
        <v>117</v>
      </c>
    </row>
    <row r="33" spans="1:12" ht="24" customHeight="1" x14ac:dyDescent="0.35">
      <c r="A33" s="31" t="s">
        <v>118</v>
      </c>
      <c r="B33" s="22"/>
      <c r="C33" s="22"/>
      <c r="D33" s="22"/>
      <c r="E33" s="22"/>
      <c r="F33" s="22"/>
      <c r="G33" s="22"/>
      <c r="H33" s="22"/>
    </row>
    <row r="34" spans="1:12" ht="51" customHeight="1" x14ac:dyDescent="0.35">
      <c r="A34" s="2" t="s">
        <v>119</v>
      </c>
      <c r="B34" s="3" t="s">
        <v>120</v>
      </c>
      <c r="C34" s="4" t="s">
        <v>121</v>
      </c>
      <c r="D34" s="4" t="s">
        <v>122</v>
      </c>
      <c r="E34" s="4" t="s">
        <v>412</v>
      </c>
      <c r="F34" s="24" t="s">
        <v>455</v>
      </c>
      <c r="G34" s="4" t="s">
        <v>431</v>
      </c>
      <c r="H34" s="4" t="s">
        <v>123</v>
      </c>
      <c r="I34" s="28" t="s">
        <v>123</v>
      </c>
      <c r="J34" s="28" t="s">
        <v>123</v>
      </c>
      <c r="K34" s="28" t="s">
        <v>123</v>
      </c>
    </row>
    <row r="35" spans="1:12" ht="42" customHeight="1" x14ac:dyDescent="0.35">
      <c r="A35" s="2" t="s">
        <v>124</v>
      </c>
      <c r="B35" s="5" t="s">
        <v>125</v>
      </c>
      <c r="C35" s="6" t="s">
        <v>126</v>
      </c>
      <c r="D35" s="6" t="s">
        <v>127</v>
      </c>
      <c r="E35" s="6" t="s">
        <v>413</v>
      </c>
      <c r="F35" s="25" t="s">
        <v>456</v>
      </c>
      <c r="G35" s="6" t="s">
        <v>432</v>
      </c>
      <c r="H35" s="6" t="s">
        <v>128</v>
      </c>
      <c r="I35" s="27" t="s">
        <v>128</v>
      </c>
      <c r="J35" s="27" t="s">
        <v>128</v>
      </c>
      <c r="K35" s="27" t="s">
        <v>128</v>
      </c>
    </row>
    <row r="36" spans="1:12" ht="24" customHeight="1" x14ac:dyDescent="0.35">
      <c r="A36" s="31" t="s">
        <v>129</v>
      </c>
      <c r="B36" s="22"/>
      <c r="C36" s="22"/>
      <c r="D36" s="22"/>
      <c r="E36" s="22"/>
      <c r="F36" s="22"/>
      <c r="G36" s="22"/>
      <c r="H36" s="22"/>
    </row>
    <row r="37" spans="1:12" ht="26.15" customHeight="1" x14ac:dyDescent="0.35">
      <c r="A37" s="2" t="s">
        <v>130</v>
      </c>
      <c r="B37" s="5" t="s">
        <v>131</v>
      </c>
      <c r="C37" s="8"/>
      <c r="D37" s="8"/>
      <c r="E37" s="8"/>
      <c r="F37" s="8"/>
      <c r="G37" s="8"/>
      <c r="H37" s="8"/>
      <c r="J37" s="29"/>
      <c r="K37" s="29"/>
    </row>
    <row r="38" spans="1:12" ht="26.15" customHeight="1" x14ac:dyDescent="0.35">
      <c r="A38" s="2" t="s">
        <v>132</v>
      </c>
      <c r="B38" s="3" t="s">
        <v>133</v>
      </c>
      <c r="C38" s="8"/>
      <c r="D38" s="8"/>
      <c r="E38" s="8"/>
      <c r="F38" s="8"/>
      <c r="G38" s="8"/>
      <c r="H38" s="8"/>
      <c r="J38" s="29"/>
      <c r="K38" s="29"/>
    </row>
    <row r="39" spans="1:12" ht="26.15" customHeight="1" x14ac:dyDescent="0.35">
      <c r="A39" s="2" t="s">
        <v>134</v>
      </c>
      <c r="B39" s="5" t="s">
        <v>135</v>
      </c>
      <c r="C39" s="8"/>
      <c r="D39" s="8"/>
      <c r="E39" s="8"/>
      <c r="F39" s="8"/>
      <c r="G39" s="8"/>
      <c r="H39" s="8"/>
      <c r="J39" s="29"/>
      <c r="K39" s="29"/>
    </row>
    <row r="40" spans="1:12" ht="26.15" customHeight="1" thickBot="1" x14ac:dyDescent="0.4">
      <c r="A40" s="2" t="s">
        <v>136</v>
      </c>
      <c r="B40" s="3" t="s">
        <v>137</v>
      </c>
      <c r="C40" s="9">
        <f>C37+C38+C39</f>
        <v>0</v>
      </c>
      <c r="D40" s="9">
        <f>D37+D38+D39</f>
        <v>0</v>
      </c>
      <c r="E40" s="9">
        <f>E37+E38+E39</f>
        <v>0</v>
      </c>
      <c r="F40" s="9"/>
      <c r="G40" s="9">
        <f>G37+G38+G39</f>
        <v>0</v>
      </c>
      <c r="H40" s="9">
        <f>H37+H38+H39</f>
        <v>0</v>
      </c>
      <c r="I40" s="30">
        <f>I37+I38+I39</f>
        <v>0</v>
      </c>
      <c r="J40" s="30">
        <f>J37+J38+J39</f>
        <v>0</v>
      </c>
      <c r="K40" s="30">
        <f>K37+K38+K39</f>
        <v>0</v>
      </c>
    </row>
    <row r="41" spans="1:12" ht="26.15" customHeight="1" thickTop="1" x14ac:dyDescent="0.35">
      <c r="A41" s="2" t="s">
        <v>138</v>
      </c>
      <c r="B41" s="5" t="s">
        <v>139</v>
      </c>
      <c r="C41" s="7" t="s">
        <v>140</v>
      </c>
      <c r="D41" s="7" t="s">
        <v>141</v>
      </c>
      <c r="E41" s="8" t="s">
        <v>142</v>
      </c>
      <c r="F41" s="8"/>
      <c r="G41" s="8" t="s">
        <v>143</v>
      </c>
      <c r="H41" s="8" t="s">
        <v>144</v>
      </c>
      <c r="I41" s="29" t="s">
        <v>144</v>
      </c>
      <c r="J41" s="29" t="s">
        <v>144</v>
      </c>
      <c r="K41" s="29" t="s">
        <v>144</v>
      </c>
    </row>
    <row r="44" spans="1:12" ht="16" x14ac:dyDescent="0.35">
      <c r="A44" s="32" t="s">
        <v>463</v>
      </c>
      <c r="C44">
        <v>1</v>
      </c>
      <c r="D44">
        <v>1</v>
      </c>
      <c r="F44">
        <v>1</v>
      </c>
      <c r="L44">
        <f>SUM(B44:K44)</f>
        <v>3</v>
      </c>
    </row>
    <row r="45" spans="1:12" ht="16" x14ac:dyDescent="0.35">
      <c r="A45" s="32" t="s">
        <v>464</v>
      </c>
      <c r="C45">
        <v>1</v>
      </c>
      <c r="F45">
        <v>1</v>
      </c>
      <c r="K45">
        <v>1</v>
      </c>
      <c r="L45">
        <f>SUM(B45:K45)</f>
        <v>3</v>
      </c>
    </row>
    <row r="46" spans="1:12" ht="16" x14ac:dyDescent="0.35">
      <c r="A46" s="32" t="s">
        <v>465</v>
      </c>
      <c r="C46">
        <v>1</v>
      </c>
      <c r="D46">
        <v>1</v>
      </c>
      <c r="G46">
        <v>1</v>
      </c>
      <c r="L46">
        <f t="shared" ref="L46:L48" si="0">SUM(B46:K46)</f>
        <v>3</v>
      </c>
    </row>
    <row r="47" spans="1:12" ht="16" x14ac:dyDescent="0.35">
      <c r="A47" s="32" t="s">
        <v>466</v>
      </c>
      <c r="C47">
        <v>1</v>
      </c>
      <c r="J47">
        <v>1</v>
      </c>
      <c r="K47">
        <v>1</v>
      </c>
      <c r="L47">
        <f t="shared" si="0"/>
        <v>3</v>
      </c>
    </row>
    <row r="48" spans="1:12" ht="16" x14ac:dyDescent="0.35">
      <c r="A48" s="32" t="s">
        <v>467</v>
      </c>
      <c r="C48">
        <v>1</v>
      </c>
      <c r="F48">
        <v>1</v>
      </c>
      <c r="L48">
        <f t="shared" si="0"/>
        <v>2</v>
      </c>
    </row>
    <row r="49" spans="2:11" x14ac:dyDescent="0.35">
      <c r="B49">
        <f>SUM(B44:B48)</f>
        <v>0</v>
      </c>
      <c r="C49" s="36">
        <f t="shared" ref="C49:I49" si="1">SUM(C44:C48)</f>
        <v>5</v>
      </c>
      <c r="D49">
        <f t="shared" si="1"/>
        <v>2</v>
      </c>
      <c r="E49">
        <f t="shared" si="1"/>
        <v>0</v>
      </c>
      <c r="F49" s="36">
        <f t="shared" si="1"/>
        <v>3</v>
      </c>
      <c r="G49">
        <f t="shared" si="1"/>
        <v>1</v>
      </c>
      <c r="H49">
        <f t="shared" si="1"/>
        <v>0</v>
      </c>
      <c r="I49">
        <f t="shared" si="1"/>
        <v>0</v>
      </c>
      <c r="J49">
        <f>SUM(J44:J47)</f>
        <v>1</v>
      </c>
      <c r="K49">
        <f>SUM(K44:K47)</f>
        <v>2</v>
      </c>
    </row>
  </sheetData>
  <mergeCells count="2">
    <mergeCell ref="A1:H1"/>
    <mergeCell ref="A2:H2"/>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5"/>
  <sheetViews>
    <sheetView workbookViewId="0">
      <selection sqref="A1:C1"/>
    </sheetView>
  </sheetViews>
  <sheetFormatPr defaultColWidth="8.81640625" defaultRowHeight="14.5" x14ac:dyDescent="0.35"/>
  <cols>
    <col min="1" max="1" width="28" customWidth="1"/>
    <col min="2" max="2" width="42" customWidth="1"/>
    <col min="3" max="3" width="75" customWidth="1"/>
  </cols>
  <sheetData>
    <row r="1" spans="1:3" ht="40" customHeight="1" x14ac:dyDescent="0.35">
      <c r="A1" s="37" t="s">
        <v>145</v>
      </c>
      <c r="B1" s="38"/>
      <c r="C1" s="38"/>
    </row>
    <row r="2" spans="1:3" ht="22" customHeight="1" x14ac:dyDescent="0.35">
      <c r="A2" s="39" t="s">
        <v>146</v>
      </c>
      <c r="B2" s="38"/>
      <c r="C2" s="38"/>
    </row>
    <row r="3" spans="1:3" ht="10" customHeight="1" x14ac:dyDescent="0.35"/>
    <row r="4" spans="1:3" ht="28" customHeight="1" x14ac:dyDescent="0.35">
      <c r="A4" s="1" t="s">
        <v>147</v>
      </c>
      <c r="B4" s="1" t="s">
        <v>148</v>
      </c>
      <c r="C4" s="1" t="s">
        <v>149</v>
      </c>
    </row>
    <row r="5" spans="1:3" ht="24" customHeight="1" x14ac:dyDescent="0.35">
      <c r="A5" s="40" t="s">
        <v>150</v>
      </c>
      <c r="B5" s="41"/>
      <c r="C5" s="41"/>
    </row>
    <row r="6" spans="1:3" ht="32.15" customHeight="1" x14ac:dyDescent="0.35">
      <c r="A6" s="2" t="s">
        <v>151</v>
      </c>
      <c r="B6" s="3" t="s">
        <v>152</v>
      </c>
      <c r="C6" s="4" t="s">
        <v>153</v>
      </c>
    </row>
    <row r="7" spans="1:3" ht="32.15" customHeight="1" x14ac:dyDescent="0.35">
      <c r="A7" s="2" t="s">
        <v>154</v>
      </c>
      <c r="B7" s="5" t="s">
        <v>155</v>
      </c>
      <c r="C7" s="6" t="s">
        <v>156</v>
      </c>
    </row>
    <row r="8" spans="1:3" ht="48" customHeight="1" x14ac:dyDescent="0.35">
      <c r="A8" s="2" t="s">
        <v>157</v>
      </c>
      <c r="B8" s="3" t="s">
        <v>158</v>
      </c>
      <c r="C8" s="4" t="s">
        <v>159</v>
      </c>
    </row>
    <row r="9" spans="1:3" ht="48" customHeight="1" x14ac:dyDescent="0.35">
      <c r="A9" s="2" t="s">
        <v>160</v>
      </c>
      <c r="B9" s="5" t="s">
        <v>161</v>
      </c>
      <c r="C9" s="6" t="s">
        <v>162</v>
      </c>
    </row>
    <row r="10" spans="1:3" ht="24" customHeight="1" x14ac:dyDescent="0.35">
      <c r="A10" s="40" t="s">
        <v>163</v>
      </c>
      <c r="B10" s="41"/>
      <c r="C10" s="41"/>
    </row>
    <row r="11" spans="1:3" ht="48" customHeight="1" x14ac:dyDescent="0.35">
      <c r="A11" s="2" t="s">
        <v>164</v>
      </c>
      <c r="B11" s="5" t="s">
        <v>165</v>
      </c>
      <c r="C11" s="6" t="s">
        <v>166</v>
      </c>
    </row>
    <row r="12" spans="1:3" ht="48" customHeight="1" x14ac:dyDescent="0.35">
      <c r="A12" s="2" t="s">
        <v>167</v>
      </c>
      <c r="B12" s="3" t="s">
        <v>168</v>
      </c>
      <c r="C12" s="4" t="s">
        <v>169</v>
      </c>
    </row>
    <row r="13" spans="1:3" ht="48" customHeight="1" x14ac:dyDescent="0.35">
      <c r="A13" s="2" t="s">
        <v>170</v>
      </c>
      <c r="B13" s="5" t="s">
        <v>171</v>
      </c>
      <c r="C13" s="6" t="s">
        <v>172</v>
      </c>
    </row>
    <row r="14" spans="1:3" ht="48" customHeight="1" x14ac:dyDescent="0.35">
      <c r="A14" s="2" t="s">
        <v>173</v>
      </c>
      <c r="B14" s="3" t="s">
        <v>174</v>
      </c>
      <c r="C14" s="4" t="s">
        <v>175</v>
      </c>
    </row>
    <row r="15" spans="1:3" ht="24" customHeight="1" x14ac:dyDescent="0.35">
      <c r="A15" s="40" t="s">
        <v>176</v>
      </c>
      <c r="B15" s="41"/>
      <c r="C15" s="41"/>
    </row>
    <row r="16" spans="1:3" ht="32.15" customHeight="1" x14ac:dyDescent="0.35">
      <c r="A16" s="2" t="s">
        <v>177</v>
      </c>
      <c r="B16" s="3" t="s">
        <v>178</v>
      </c>
      <c r="C16" s="4" t="s">
        <v>179</v>
      </c>
    </row>
    <row r="17" spans="1:3" ht="32.15" customHeight="1" x14ac:dyDescent="0.35">
      <c r="A17" s="2" t="s">
        <v>180</v>
      </c>
      <c r="B17" s="5" t="s">
        <v>181</v>
      </c>
      <c r="C17" s="6" t="s">
        <v>182</v>
      </c>
    </row>
    <row r="18" spans="1:3" ht="32.15" customHeight="1" x14ac:dyDescent="0.35">
      <c r="A18" s="2" t="s">
        <v>183</v>
      </c>
      <c r="B18" s="3" t="s">
        <v>184</v>
      </c>
      <c r="C18" s="4" t="s">
        <v>185</v>
      </c>
    </row>
    <row r="19" spans="1:3" ht="48" customHeight="1" x14ac:dyDescent="0.35">
      <c r="A19" s="2" t="s">
        <v>186</v>
      </c>
      <c r="B19" s="5" t="s">
        <v>187</v>
      </c>
      <c r="C19" s="6" t="s">
        <v>188</v>
      </c>
    </row>
    <row r="20" spans="1:3" ht="24" customHeight="1" x14ac:dyDescent="0.35">
      <c r="A20" s="40" t="s">
        <v>189</v>
      </c>
      <c r="B20" s="41"/>
      <c r="C20" s="41"/>
    </row>
    <row r="21" spans="1:3" ht="48" customHeight="1" x14ac:dyDescent="0.35">
      <c r="A21" s="2" t="s">
        <v>66</v>
      </c>
      <c r="B21" s="5" t="s">
        <v>190</v>
      </c>
      <c r="C21" s="6" t="s">
        <v>191</v>
      </c>
    </row>
    <row r="22" spans="1:3" ht="48" customHeight="1" x14ac:dyDescent="0.35">
      <c r="A22" s="2" t="s">
        <v>192</v>
      </c>
      <c r="B22" s="3" t="s">
        <v>193</v>
      </c>
      <c r="C22" s="4" t="s">
        <v>194</v>
      </c>
    </row>
    <row r="23" spans="1:3" ht="48" customHeight="1" x14ac:dyDescent="0.35">
      <c r="A23" s="2" t="s">
        <v>195</v>
      </c>
      <c r="B23" s="5" t="s">
        <v>196</v>
      </c>
      <c r="C23" s="6" t="s">
        <v>197</v>
      </c>
    </row>
    <row r="24" spans="1:3" ht="24" customHeight="1" x14ac:dyDescent="0.35">
      <c r="A24" s="40" t="s">
        <v>198</v>
      </c>
      <c r="B24" s="41"/>
      <c r="C24" s="41"/>
    </row>
    <row r="25" spans="1:3" ht="48" customHeight="1" x14ac:dyDescent="0.35">
      <c r="A25" s="2" t="s">
        <v>199</v>
      </c>
      <c r="B25" s="5" t="s">
        <v>200</v>
      </c>
      <c r="C25" s="6" t="s">
        <v>201</v>
      </c>
    </row>
    <row r="26" spans="1:3" ht="48" customHeight="1" x14ac:dyDescent="0.35">
      <c r="A26" s="2" t="s">
        <v>202</v>
      </c>
      <c r="B26" s="3" t="s">
        <v>203</v>
      </c>
      <c r="C26" s="4" t="s">
        <v>204</v>
      </c>
    </row>
    <row r="27" spans="1:3" ht="24" customHeight="1" x14ac:dyDescent="0.35">
      <c r="A27" s="40" t="s">
        <v>205</v>
      </c>
      <c r="B27" s="41"/>
      <c r="C27" s="41"/>
    </row>
    <row r="28" spans="1:3" ht="48" customHeight="1" x14ac:dyDescent="0.35">
      <c r="A28" s="2" t="s">
        <v>206</v>
      </c>
      <c r="B28" s="3" t="s">
        <v>207</v>
      </c>
      <c r="C28" s="4" t="s">
        <v>208</v>
      </c>
    </row>
    <row r="29" spans="1:3" ht="48" customHeight="1" x14ac:dyDescent="0.35">
      <c r="A29" s="2" t="s">
        <v>209</v>
      </c>
      <c r="B29" s="5" t="s">
        <v>207</v>
      </c>
      <c r="C29" s="6" t="s">
        <v>210</v>
      </c>
    </row>
    <row r="30" spans="1:3" ht="48" customHeight="1" x14ac:dyDescent="0.35">
      <c r="A30" s="2" t="s">
        <v>211</v>
      </c>
      <c r="B30" s="3" t="s">
        <v>207</v>
      </c>
      <c r="C30" s="4" t="s">
        <v>212</v>
      </c>
    </row>
    <row r="31" spans="1:3" ht="48" customHeight="1" x14ac:dyDescent="0.35">
      <c r="A31" s="2" t="s">
        <v>213</v>
      </c>
      <c r="B31" s="5" t="s">
        <v>207</v>
      </c>
      <c r="C31" s="6" t="s">
        <v>214</v>
      </c>
    </row>
    <row r="32" spans="1:3" ht="48" customHeight="1" x14ac:dyDescent="0.35">
      <c r="A32" s="2" t="s">
        <v>215</v>
      </c>
      <c r="B32" s="3" t="s">
        <v>207</v>
      </c>
      <c r="C32" s="4" t="s">
        <v>216</v>
      </c>
    </row>
    <row r="33" spans="1:3" ht="24" customHeight="1" x14ac:dyDescent="0.35">
      <c r="A33" s="40" t="s">
        <v>217</v>
      </c>
      <c r="B33" s="41"/>
      <c r="C33" s="41"/>
    </row>
    <row r="34" spans="1:3" ht="32.15" customHeight="1" x14ac:dyDescent="0.35">
      <c r="A34" s="2" t="s">
        <v>218</v>
      </c>
      <c r="B34" s="3" t="s">
        <v>219</v>
      </c>
      <c r="C34" s="4" t="s">
        <v>220</v>
      </c>
    </row>
    <row r="35" spans="1:3" ht="48" customHeight="1" x14ac:dyDescent="0.35">
      <c r="A35" s="2" t="s">
        <v>221</v>
      </c>
      <c r="B35" s="5" t="s">
        <v>222</v>
      </c>
      <c r="C35" s="6" t="s">
        <v>223</v>
      </c>
    </row>
  </sheetData>
  <mergeCells count="9">
    <mergeCell ref="A10:C10"/>
    <mergeCell ref="A33:C33"/>
    <mergeCell ref="A1:C1"/>
    <mergeCell ref="A5:C5"/>
    <mergeCell ref="A27:C27"/>
    <mergeCell ref="A15:C15"/>
    <mergeCell ref="A20:C20"/>
    <mergeCell ref="A24:C24"/>
    <mergeCell ref="A2:C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6"/>
  <sheetViews>
    <sheetView zoomScale="70" zoomScaleNormal="70" workbookViewId="0">
      <selection activeCell="C12" sqref="C12"/>
    </sheetView>
  </sheetViews>
  <sheetFormatPr defaultColWidth="8.81640625" defaultRowHeight="14.5" x14ac:dyDescent="0.35"/>
  <cols>
    <col min="1" max="1" width="28" customWidth="1"/>
    <col min="2" max="2" width="42" customWidth="1"/>
    <col min="3" max="3" width="75" customWidth="1"/>
  </cols>
  <sheetData>
    <row r="1" spans="1:3" ht="40" customHeight="1" x14ac:dyDescent="0.35">
      <c r="A1" s="37" t="s">
        <v>224</v>
      </c>
      <c r="B1" s="38"/>
      <c r="C1" s="38"/>
    </row>
    <row r="2" spans="1:3" ht="22" customHeight="1" x14ac:dyDescent="0.35">
      <c r="A2" s="39" t="s">
        <v>146</v>
      </c>
      <c r="B2" s="38"/>
      <c r="C2" s="38"/>
    </row>
    <row r="3" spans="1:3" ht="10" customHeight="1" x14ac:dyDescent="0.35"/>
    <row r="4" spans="1:3" ht="28" customHeight="1" x14ac:dyDescent="0.35">
      <c r="A4" s="1" t="s">
        <v>147</v>
      </c>
      <c r="B4" s="1" t="s">
        <v>148</v>
      </c>
      <c r="C4" s="1" t="s">
        <v>149</v>
      </c>
    </row>
    <row r="5" spans="1:3" ht="24" customHeight="1" x14ac:dyDescent="0.35">
      <c r="A5" s="40" t="s">
        <v>150</v>
      </c>
      <c r="B5" s="41"/>
      <c r="C5" s="41"/>
    </row>
    <row r="6" spans="1:3" ht="32.15" customHeight="1" x14ac:dyDescent="0.35">
      <c r="A6" s="2" t="s">
        <v>151</v>
      </c>
      <c r="B6" s="3" t="s">
        <v>152</v>
      </c>
      <c r="C6" s="4" t="s">
        <v>225</v>
      </c>
    </row>
    <row r="7" spans="1:3" ht="32.15" customHeight="1" x14ac:dyDescent="0.35">
      <c r="A7" s="2" t="s">
        <v>154</v>
      </c>
      <c r="B7" s="5" t="s">
        <v>155</v>
      </c>
      <c r="C7" s="6" t="s">
        <v>226</v>
      </c>
    </row>
    <row r="8" spans="1:3" ht="48" customHeight="1" x14ac:dyDescent="0.35">
      <c r="A8" s="2" t="s">
        <v>157</v>
      </c>
      <c r="B8" s="3" t="s">
        <v>158</v>
      </c>
      <c r="C8" s="4" t="s">
        <v>227</v>
      </c>
    </row>
    <row r="9" spans="1:3" ht="48" customHeight="1" x14ac:dyDescent="0.35">
      <c r="A9" s="2" t="s">
        <v>160</v>
      </c>
      <c r="B9" s="5" t="s">
        <v>161</v>
      </c>
      <c r="C9" s="6" t="s">
        <v>228</v>
      </c>
    </row>
    <row r="10" spans="1:3" ht="24" customHeight="1" x14ac:dyDescent="0.35">
      <c r="A10" s="40" t="s">
        <v>163</v>
      </c>
      <c r="B10" s="41"/>
      <c r="C10" s="41"/>
    </row>
    <row r="11" spans="1:3" ht="48" customHeight="1" x14ac:dyDescent="0.35">
      <c r="A11" s="2" t="s">
        <v>164</v>
      </c>
      <c r="B11" s="5" t="s">
        <v>165</v>
      </c>
      <c r="C11" s="6" t="s">
        <v>229</v>
      </c>
    </row>
    <row r="12" spans="1:3" ht="96" x14ac:dyDescent="0.35">
      <c r="A12" s="2" t="s">
        <v>230</v>
      </c>
      <c r="B12" s="3" t="s">
        <v>231</v>
      </c>
      <c r="C12" s="4" t="s">
        <v>232</v>
      </c>
    </row>
    <row r="13" spans="1:3" ht="48" customHeight="1" x14ac:dyDescent="0.35">
      <c r="A13" s="2" t="s">
        <v>233</v>
      </c>
      <c r="B13" s="5" t="s">
        <v>234</v>
      </c>
      <c r="C13" s="6" t="s">
        <v>235</v>
      </c>
    </row>
    <row r="14" spans="1:3" ht="32.15" customHeight="1" x14ac:dyDescent="0.35">
      <c r="A14" s="2" t="s">
        <v>236</v>
      </c>
      <c r="B14" s="3" t="s">
        <v>237</v>
      </c>
      <c r="C14" s="4" t="s">
        <v>238</v>
      </c>
    </row>
    <row r="15" spans="1:3" ht="24" customHeight="1" x14ac:dyDescent="0.35">
      <c r="A15" s="40" t="s">
        <v>176</v>
      </c>
      <c r="B15" s="41"/>
      <c r="C15" s="41"/>
    </row>
    <row r="16" spans="1:3" ht="32.15" customHeight="1" x14ac:dyDescent="0.35">
      <c r="A16" s="2" t="s">
        <v>239</v>
      </c>
      <c r="B16" s="3" t="s">
        <v>240</v>
      </c>
      <c r="C16" s="4" t="s">
        <v>241</v>
      </c>
    </row>
    <row r="17" spans="1:3" ht="32.15" customHeight="1" x14ac:dyDescent="0.35">
      <c r="A17" s="2" t="s">
        <v>242</v>
      </c>
      <c r="B17" s="5" t="s">
        <v>243</v>
      </c>
      <c r="C17" s="6" t="s">
        <v>244</v>
      </c>
    </row>
    <row r="18" spans="1:3" ht="32.15" customHeight="1" x14ac:dyDescent="0.35">
      <c r="A18" s="2" t="s">
        <v>245</v>
      </c>
      <c r="B18" s="3" t="s">
        <v>246</v>
      </c>
      <c r="C18" s="4" t="s">
        <v>247</v>
      </c>
    </row>
    <row r="19" spans="1:3" ht="32.15" customHeight="1" x14ac:dyDescent="0.35">
      <c r="A19" s="2" t="s">
        <v>248</v>
      </c>
      <c r="B19" s="5" t="s">
        <v>249</v>
      </c>
      <c r="C19" s="6" t="s">
        <v>250</v>
      </c>
    </row>
    <row r="20" spans="1:3" ht="48" customHeight="1" x14ac:dyDescent="0.35">
      <c r="A20" s="2" t="s">
        <v>251</v>
      </c>
      <c r="B20" s="3" t="s">
        <v>252</v>
      </c>
      <c r="C20" s="4" t="s">
        <v>253</v>
      </c>
    </row>
    <row r="21" spans="1:3" ht="24" customHeight="1" x14ac:dyDescent="0.35">
      <c r="A21" s="40" t="s">
        <v>189</v>
      </c>
      <c r="B21" s="41"/>
      <c r="C21" s="41"/>
    </row>
    <row r="22" spans="1:3" ht="48" customHeight="1" x14ac:dyDescent="0.35">
      <c r="A22" s="2" t="s">
        <v>66</v>
      </c>
      <c r="B22" s="3" t="s">
        <v>190</v>
      </c>
      <c r="C22" s="4" t="s">
        <v>254</v>
      </c>
    </row>
    <row r="23" spans="1:3" ht="32.15" customHeight="1" x14ac:dyDescent="0.35">
      <c r="A23" s="2" t="s">
        <v>192</v>
      </c>
      <c r="B23" s="5" t="s">
        <v>193</v>
      </c>
      <c r="C23" s="6" t="s">
        <v>255</v>
      </c>
    </row>
    <row r="24" spans="1:3" ht="32.15" customHeight="1" x14ac:dyDescent="0.35">
      <c r="A24" s="2" t="s">
        <v>195</v>
      </c>
      <c r="B24" s="3" t="s">
        <v>196</v>
      </c>
      <c r="C24" s="4" t="s">
        <v>256</v>
      </c>
    </row>
    <row r="25" spans="1:3" ht="24" customHeight="1" x14ac:dyDescent="0.35">
      <c r="A25" s="40" t="s">
        <v>198</v>
      </c>
      <c r="B25" s="41"/>
      <c r="C25" s="41"/>
    </row>
    <row r="26" spans="1:3" ht="48" customHeight="1" x14ac:dyDescent="0.35">
      <c r="A26" s="2" t="s">
        <v>199</v>
      </c>
      <c r="B26" s="3" t="s">
        <v>200</v>
      </c>
      <c r="C26" s="4" t="s">
        <v>257</v>
      </c>
    </row>
    <row r="27" spans="1:3" ht="48" customHeight="1" x14ac:dyDescent="0.35">
      <c r="A27" s="2" t="s">
        <v>202</v>
      </c>
      <c r="B27" s="5" t="s">
        <v>203</v>
      </c>
      <c r="C27" s="6" t="s">
        <v>258</v>
      </c>
    </row>
    <row r="28" spans="1:3" ht="24" customHeight="1" x14ac:dyDescent="0.35">
      <c r="A28" s="40" t="s">
        <v>205</v>
      </c>
      <c r="B28" s="41"/>
      <c r="C28" s="41"/>
    </row>
    <row r="29" spans="1:3" ht="48" customHeight="1" x14ac:dyDescent="0.35">
      <c r="A29" s="2" t="s">
        <v>259</v>
      </c>
      <c r="B29" s="5" t="s">
        <v>207</v>
      </c>
      <c r="C29" s="6" t="s">
        <v>260</v>
      </c>
    </row>
    <row r="30" spans="1:3" ht="48" customHeight="1" x14ac:dyDescent="0.35">
      <c r="A30" s="2" t="s">
        <v>261</v>
      </c>
      <c r="B30" s="3" t="s">
        <v>207</v>
      </c>
      <c r="C30" s="4" t="s">
        <v>262</v>
      </c>
    </row>
    <row r="31" spans="1:3" ht="48" customHeight="1" x14ac:dyDescent="0.35">
      <c r="A31" s="2" t="s">
        <v>263</v>
      </c>
      <c r="B31" s="5" t="s">
        <v>207</v>
      </c>
      <c r="C31" s="6" t="s">
        <v>264</v>
      </c>
    </row>
    <row r="32" spans="1:3" ht="48" customHeight="1" x14ac:dyDescent="0.35">
      <c r="A32" s="2" t="s">
        <v>265</v>
      </c>
      <c r="B32" s="3" t="s">
        <v>207</v>
      </c>
      <c r="C32" s="4" t="s">
        <v>266</v>
      </c>
    </row>
    <row r="33" spans="1:3" ht="48" customHeight="1" x14ac:dyDescent="0.35">
      <c r="A33" s="2" t="s">
        <v>267</v>
      </c>
      <c r="B33" s="5" t="s">
        <v>207</v>
      </c>
      <c r="C33" s="6" t="s">
        <v>268</v>
      </c>
    </row>
    <row r="34" spans="1:3" ht="24" customHeight="1" x14ac:dyDescent="0.35">
      <c r="A34" s="40" t="s">
        <v>217</v>
      </c>
      <c r="B34" s="41"/>
      <c r="C34" s="41"/>
    </row>
    <row r="35" spans="1:3" ht="48" customHeight="1" x14ac:dyDescent="0.35">
      <c r="A35" s="2" t="s">
        <v>218</v>
      </c>
      <c r="B35" s="5" t="s">
        <v>219</v>
      </c>
      <c r="C35" s="6" t="s">
        <v>269</v>
      </c>
    </row>
    <row r="36" spans="1:3" ht="48" customHeight="1" x14ac:dyDescent="0.35">
      <c r="A36" s="2" t="s">
        <v>221</v>
      </c>
      <c r="B36" s="3" t="s">
        <v>222</v>
      </c>
      <c r="C36" s="4" t="s">
        <v>270</v>
      </c>
    </row>
  </sheetData>
  <mergeCells count="9">
    <mergeCell ref="A1:C1"/>
    <mergeCell ref="A5:C5"/>
    <mergeCell ref="A21:C21"/>
    <mergeCell ref="A34:C34"/>
    <mergeCell ref="A15:C15"/>
    <mergeCell ref="A2:C2"/>
    <mergeCell ref="A10:C10"/>
    <mergeCell ref="A25:C25"/>
    <mergeCell ref="A28:C2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5"/>
  <sheetViews>
    <sheetView workbookViewId="0">
      <selection activeCell="C6" sqref="C6"/>
    </sheetView>
  </sheetViews>
  <sheetFormatPr defaultColWidth="8.81640625" defaultRowHeight="14.5" x14ac:dyDescent="0.35"/>
  <cols>
    <col min="1" max="1" width="28" customWidth="1"/>
    <col min="2" max="2" width="42" customWidth="1"/>
    <col min="3" max="3" width="75" customWidth="1"/>
  </cols>
  <sheetData>
    <row r="1" spans="1:3" ht="40" customHeight="1" x14ac:dyDescent="0.35">
      <c r="A1" s="37" t="s">
        <v>271</v>
      </c>
      <c r="B1" s="38"/>
      <c r="C1" s="38"/>
    </row>
    <row r="2" spans="1:3" ht="22" customHeight="1" x14ac:dyDescent="0.35">
      <c r="A2" s="39" t="s">
        <v>146</v>
      </c>
      <c r="B2" s="38"/>
      <c r="C2" s="38"/>
    </row>
    <row r="3" spans="1:3" ht="10" customHeight="1" x14ac:dyDescent="0.35"/>
    <row r="4" spans="1:3" ht="28" customHeight="1" x14ac:dyDescent="0.35">
      <c r="A4" s="1" t="s">
        <v>147</v>
      </c>
      <c r="B4" s="1" t="s">
        <v>148</v>
      </c>
      <c r="C4" s="1" t="s">
        <v>149</v>
      </c>
    </row>
    <row r="5" spans="1:3" ht="24" customHeight="1" x14ac:dyDescent="0.35">
      <c r="A5" s="40" t="s">
        <v>150</v>
      </c>
      <c r="B5" s="41"/>
      <c r="C5" s="41"/>
    </row>
    <row r="6" spans="1:3" ht="32.15" customHeight="1" x14ac:dyDescent="0.35">
      <c r="A6" s="2" t="s">
        <v>151</v>
      </c>
      <c r="B6" s="3" t="s">
        <v>152</v>
      </c>
      <c r="C6" s="4" t="s">
        <v>272</v>
      </c>
    </row>
    <row r="7" spans="1:3" ht="32.15" customHeight="1" x14ac:dyDescent="0.35">
      <c r="A7" s="2" t="s">
        <v>154</v>
      </c>
      <c r="B7" s="5" t="s">
        <v>155</v>
      </c>
      <c r="C7" s="6" t="s">
        <v>273</v>
      </c>
    </row>
    <row r="8" spans="1:3" ht="32.15" customHeight="1" x14ac:dyDescent="0.35">
      <c r="A8" s="2" t="s">
        <v>157</v>
      </c>
      <c r="B8" s="3" t="s">
        <v>158</v>
      </c>
      <c r="C8" s="4" t="s">
        <v>274</v>
      </c>
    </row>
    <row r="9" spans="1:3" ht="32.15" customHeight="1" x14ac:dyDescent="0.35">
      <c r="A9" s="2" t="s">
        <v>160</v>
      </c>
      <c r="B9" s="5" t="s">
        <v>161</v>
      </c>
      <c r="C9" s="6" t="s">
        <v>275</v>
      </c>
    </row>
    <row r="10" spans="1:3" ht="24" customHeight="1" x14ac:dyDescent="0.35">
      <c r="A10" s="40" t="s">
        <v>163</v>
      </c>
      <c r="B10" s="41"/>
      <c r="C10" s="41"/>
    </row>
    <row r="11" spans="1:3" ht="32.15" customHeight="1" x14ac:dyDescent="0.35">
      <c r="A11" s="2" t="s">
        <v>164</v>
      </c>
      <c r="B11" s="5" t="s">
        <v>165</v>
      </c>
      <c r="C11" s="6" t="s">
        <v>276</v>
      </c>
    </row>
    <row r="12" spans="1:3" ht="32.15" customHeight="1" x14ac:dyDescent="0.35">
      <c r="A12" s="2" t="s">
        <v>277</v>
      </c>
      <c r="B12" s="3" t="s">
        <v>278</v>
      </c>
      <c r="C12" s="4" t="s">
        <v>279</v>
      </c>
    </row>
    <row r="13" spans="1:3" ht="32.15" customHeight="1" x14ac:dyDescent="0.35">
      <c r="A13" s="2" t="s">
        <v>170</v>
      </c>
      <c r="B13" s="5" t="s">
        <v>171</v>
      </c>
      <c r="C13" s="6" t="s">
        <v>280</v>
      </c>
    </row>
    <row r="14" spans="1:3" ht="32.15" customHeight="1" x14ac:dyDescent="0.35">
      <c r="A14" s="2" t="s">
        <v>281</v>
      </c>
      <c r="B14" s="3" t="s">
        <v>282</v>
      </c>
      <c r="C14" s="4" t="s">
        <v>283</v>
      </c>
    </row>
    <row r="15" spans="1:3" ht="24" customHeight="1" x14ac:dyDescent="0.35">
      <c r="A15" s="40" t="s">
        <v>176</v>
      </c>
      <c r="B15" s="41"/>
      <c r="C15" s="41"/>
    </row>
    <row r="16" spans="1:3" ht="32.15" customHeight="1" x14ac:dyDescent="0.35">
      <c r="A16" s="2" t="s">
        <v>177</v>
      </c>
      <c r="B16" s="3" t="s">
        <v>178</v>
      </c>
      <c r="C16" s="4" t="s">
        <v>284</v>
      </c>
    </row>
    <row r="17" spans="1:3" ht="32.15" customHeight="1" x14ac:dyDescent="0.35">
      <c r="A17" s="2" t="s">
        <v>180</v>
      </c>
      <c r="B17" s="5" t="s">
        <v>181</v>
      </c>
      <c r="C17" s="6" t="s">
        <v>285</v>
      </c>
    </row>
    <row r="18" spans="1:3" ht="32.15" customHeight="1" x14ac:dyDescent="0.35">
      <c r="A18" s="2" t="s">
        <v>183</v>
      </c>
      <c r="B18" s="3" t="s">
        <v>286</v>
      </c>
      <c r="C18" s="4" t="s">
        <v>287</v>
      </c>
    </row>
    <row r="19" spans="1:3" ht="32.15" customHeight="1" x14ac:dyDescent="0.35">
      <c r="A19" s="2" t="s">
        <v>186</v>
      </c>
      <c r="B19" s="5" t="s">
        <v>187</v>
      </c>
      <c r="C19" s="6" t="s">
        <v>288</v>
      </c>
    </row>
    <row r="20" spans="1:3" ht="24" customHeight="1" x14ac:dyDescent="0.35">
      <c r="A20" s="40" t="s">
        <v>189</v>
      </c>
      <c r="B20" s="41"/>
      <c r="C20" s="41"/>
    </row>
    <row r="21" spans="1:3" ht="32.15" customHeight="1" x14ac:dyDescent="0.35">
      <c r="A21" s="2" t="s">
        <v>66</v>
      </c>
      <c r="B21" s="5" t="s">
        <v>190</v>
      </c>
      <c r="C21" s="6" t="s">
        <v>289</v>
      </c>
    </row>
    <row r="22" spans="1:3" ht="32.15" customHeight="1" x14ac:dyDescent="0.35">
      <c r="A22" s="2" t="s">
        <v>192</v>
      </c>
      <c r="B22" s="3" t="s">
        <v>193</v>
      </c>
      <c r="C22" s="4" t="s">
        <v>290</v>
      </c>
    </row>
    <row r="23" spans="1:3" ht="32.15" customHeight="1" x14ac:dyDescent="0.35">
      <c r="A23" s="2" t="s">
        <v>195</v>
      </c>
      <c r="B23" s="5" t="s">
        <v>196</v>
      </c>
      <c r="C23" s="6" t="s">
        <v>291</v>
      </c>
    </row>
    <row r="24" spans="1:3" ht="24" customHeight="1" x14ac:dyDescent="0.35">
      <c r="A24" s="40" t="s">
        <v>198</v>
      </c>
      <c r="B24" s="41"/>
      <c r="C24" s="41"/>
    </row>
    <row r="25" spans="1:3" ht="32.15" customHeight="1" x14ac:dyDescent="0.35">
      <c r="A25" s="2" t="s">
        <v>199</v>
      </c>
      <c r="B25" s="5" t="s">
        <v>200</v>
      </c>
      <c r="C25" s="6" t="s">
        <v>292</v>
      </c>
    </row>
    <row r="26" spans="1:3" ht="32.15" customHeight="1" x14ac:dyDescent="0.35">
      <c r="A26" s="2" t="s">
        <v>202</v>
      </c>
      <c r="B26" s="3" t="s">
        <v>203</v>
      </c>
      <c r="C26" s="4" t="s">
        <v>293</v>
      </c>
    </row>
    <row r="27" spans="1:3" ht="24" customHeight="1" x14ac:dyDescent="0.35">
      <c r="A27" s="40" t="s">
        <v>205</v>
      </c>
      <c r="B27" s="41"/>
      <c r="C27" s="41"/>
    </row>
    <row r="28" spans="1:3" ht="32.15" customHeight="1" x14ac:dyDescent="0.35">
      <c r="A28" s="2" t="s">
        <v>93</v>
      </c>
      <c r="B28" s="3" t="s">
        <v>207</v>
      </c>
      <c r="C28" s="4" t="s">
        <v>294</v>
      </c>
    </row>
    <row r="29" spans="1:3" ht="32.15" customHeight="1" x14ac:dyDescent="0.35">
      <c r="A29" s="2" t="s">
        <v>98</v>
      </c>
      <c r="B29" s="5" t="s">
        <v>207</v>
      </c>
      <c r="C29" s="6" t="s">
        <v>295</v>
      </c>
    </row>
    <row r="30" spans="1:3" ht="32.15" customHeight="1" x14ac:dyDescent="0.35">
      <c r="A30" s="2" t="s">
        <v>103</v>
      </c>
      <c r="B30" s="3" t="s">
        <v>207</v>
      </c>
      <c r="C30" s="4" t="s">
        <v>296</v>
      </c>
    </row>
    <row r="31" spans="1:3" ht="32.15" customHeight="1" x14ac:dyDescent="0.35">
      <c r="A31" s="2" t="s">
        <v>108</v>
      </c>
      <c r="B31" s="5" t="s">
        <v>207</v>
      </c>
      <c r="C31" s="6" t="s">
        <v>297</v>
      </c>
    </row>
    <row r="32" spans="1:3" ht="32.15" customHeight="1" x14ac:dyDescent="0.35">
      <c r="A32" s="2" t="s">
        <v>113</v>
      </c>
      <c r="B32" s="3" t="s">
        <v>207</v>
      </c>
      <c r="C32" s="4" t="s">
        <v>298</v>
      </c>
    </row>
    <row r="33" spans="1:3" ht="24" customHeight="1" x14ac:dyDescent="0.35">
      <c r="A33" s="40" t="s">
        <v>217</v>
      </c>
      <c r="B33" s="41"/>
      <c r="C33" s="41"/>
    </row>
    <row r="34" spans="1:3" ht="32.15" customHeight="1" x14ac:dyDescent="0.35">
      <c r="A34" s="2" t="s">
        <v>218</v>
      </c>
      <c r="B34" s="3" t="s">
        <v>219</v>
      </c>
      <c r="C34" s="4" t="s">
        <v>299</v>
      </c>
    </row>
    <row r="35" spans="1:3" ht="32.15" customHeight="1" x14ac:dyDescent="0.35">
      <c r="A35" s="2" t="s">
        <v>221</v>
      </c>
      <c r="B35" s="5" t="s">
        <v>222</v>
      </c>
      <c r="C35" s="6" t="s">
        <v>300</v>
      </c>
    </row>
  </sheetData>
  <mergeCells count="9">
    <mergeCell ref="A10:C10"/>
    <mergeCell ref="A33:C33"/>
    <mergeCell ref="A1:C1"/>
    <mergeCell ref="A5:C5"/>
    <mergeCell ref="A27:C27"/>
    <mergeCell ref="A15:C15"/>
    <mergeCell ref="A20:C20"/>
    <mergeCell ref="A24:C24"/>
    <mergeCell ref="A2:C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3"/>
  <sheetViews>
    <sheetView topLeftCell="A18" workbookViewId="0">
      <selection sqref="A1:C1"/>
    </sheetView>
  </sheetViews>
  <sheetFormatPr defaultColWidth="8.81640625" defaultRowHeight="14.5" x14ac:dyDescent="0.35"/>
  <cols>
    <col min="1" max="1" width="28" customWidth="1"/>
    <col min="2" max="2" width="65" customWidth="1"/>
    <col min="3" max="3" width="45" customWidth="1"/>
  </cols>
  <sheetData>
    <row r="1" spans="1:3" ht="40" customHeight="1" x14ac:dyDescent="0.35">
      <c r="A1" s="37" t="s">
        <v>301</v>
      </c>
      <c r="B1" s="38"/>
      <c r="C1" s="38"/>
    </row>
    <row r="2" spans="1:3" ht="22" customHeight="1" x14ac:dyDescent="0.35">
      <c r="A2" s="39" t="s">
        <v>302</v>
      </c>
      <c r="B2" s="38"/>
      <c r="C2" s="38"/>
    </row>
    <row r="3" spans="1:3" ht="10" customHeight="1" x14ac:dyDescent="0.35"/>
    <row r="4" spans="1:3" ht="24" customHeight="1" x14ac:dyDescent="0.35">
      <c r="A4" s="40" t="s">
        <v>303</v>
      </c>
      <c r="B4" s="41"/>
      <c r="C4" s="41"/>
    </row>
    <row r="5" spans="1:3" ht="24" customHeight="1" x14ac:dyDescent="0.35">
      <c r="A5" s="1" t="s">
        <v>304</v>
      </c>
      <c r="B5" s="1" t="s">
        <v>305</v>
      </c>
      <c r="C5" s="1" t="s">
        <v>306</v>
      </c>
    </row>
    <row r="6" spans="1:3" ht="36" customHeight="1" x14ac:dyDescent="0.35">
      <c r="A6" s="2" t="s">
        <v>307</v>
      </c>
      <c r="B6" s="4" t="s">
        <v>308</v>
      </c>
      <c r="C6" s="4" t="s">
        <v>309</v>
      </c>
    </row>
    <row r="7" spans="1:3" ht="36" customHeight="1" x14ac:dyDescent="0.35">
      <c r="A7" s="2" t="s">
        <v>310</v>
      </c>
      <c r="B7" s="6" t="s">
        <v>311</v>
      </c>
      <c r="C7" s="6" t="s">
        <v>312</v>
      </c>
    </row>
    <row r="8" spans="1:3" ht="36" customHeight="1" x14ac:dyDescent="0.35">
      <c r="A8" s="2" t="s">
        <v>313</v>
      </c>
      <c r="B8" s="4" t="s">
        <v>314</v>
      </c>
      <c r="C8" s="4" t="s">
        <v>315</v>
      </c>
    </row>
    <row r="9" spans="1:3" ht="36" customHeight="1" x14ac:dyDescent="0.35">
      <c r="A9" s="2" t="s">
        <v>316</v>
      </c>
      <c r="B9" s="6" t="s">
        <v>317</v>
      </c>
      <c r="C9" s="6" t="s">
        <v>318</v>
      </c>
    </row>
    <row r="10" spans="1:3" ht="36" customHeight="1" x14ac:dyDescent="0.35">
      <c r="A10" s="2" t="s">
        <v>319</v>
      </c>
      <c r="B10" s="4" t="s">
        <v>320</v>
      </c>
      <c r="C10" s="4" t="s">
        <v>321</v>
      </c>
    </row>
    <row r="11" spans="1:3" ht="36" customHeight="1" x14ac:dyDescent="0.35">
      <c r="A11" s="2" t="s">
        <v>322</v>
      </c>
      <c r="B11" s="6" t="s">
        <v>323</v>
      </c>
      <c r="C11" s="6" t="s">
        <v>324</v>
      </c>
    </row>
    <row r="12" spans="1:3" ht="36" customHeight="1" x14ac:dyDescent="0.35">
      <c r="A12" s="2" t="s">
        <v>325</v>
      </c>
      <c r="B12" s="4" t="s">
        <v>326</v>
      </c>
      <c r="C12" s="4" t="s">
        <v>327</v>
      </c>
    </row>
    <row r="13" spans="1:3" ht="36" customHeight="1" x14ac:dyDescent="0.35">
      <c r="A13" s="2" t="s">
        <v>328</v>
      </c>
      <c r="B13" s="6" t="s">
        <v>329</v>
      </c>
      <c r="C13" s="6" t="s">
        <v>330</v>
      </c>
    </row>
    <row r="14" spans="1:3" ht="36" customHeight="1" x14ac:dyDescent="0.35">
      <c r="A14" s="2" t="s">
        <v>331</v>
      </c>
      <c r="B14" s="4" t="s">
        <v>332</v>
      </c>
      <c r="C14" s="4" t="s">
        <v>333</v>
      </c>
    </row>
    <row r="15" spans="1:3" ht="36" customHeight="1" x14ac:dyDescent="0.35">
      <c r="A15" s="2" t="s">
        <v>334</v>
      </c>
      <c r="B15" s="6" t="s">
        <v>335</v>
      </c>
      <c r="C15" s="6" t="s">
        <v>336</v>
      </c>
    </row>
    <row r="17" spans="1:3" ht="24" customHeight="1" x14ac:dyDescent="0.35">
      <c r="A17" s="40" t="s">
        <v>337</v>
      </c>
      <c r="B17" s="41"/>
      <c r="C17" s="41"/>
    </row>
    <row r="18" spans="1:3" ht="24" customHeight="1" x14ac:dyDescent="0.35">
      <c r="A18" s="1" t="s">
        <v>338</v>
      </c>
      <c r="B18" s="1" t="s">
        <v>339</v>
      </c>
      <c r="C18" s="1" t="s">
        <v>340</v>
      </c>
    </row>
    <row r="19" spans="1:3" ht="36" customHeight="1" x14ac:dyDescent="0.35">
      <c r="A19" s="2" t="s">
        <v>341</v>
      </c>
      <c r="B19" s="6" t="s">
        <v>342</v>
      </c>
      <c r="C19" s="10" t="s">
        <v>343</v>
      </c>
    </row>
    <row r="20" spans="1:3" ht="36" customHeight="1" x14ac:dyDescent="0.35">
      <c r="A20" s="2" t="s">
        <v>344</v>
      </c>
      <c r="B20" s="4" t="s">
        <v>345</v>
      </c>
      <c r="C20" s="10" t="s">
        <v>346</v>
      </c>
    </row>
    <row r="21" spans="1:3" ht="36" customHeight="1" x14ac:dyDescent="0.35">
      <c r="A21" s="2" t="s">
        <v>347</v>
      </c>
      <c r="B21" s="6" t="s">
        <v>348</v>
      </c>
      <c r="C21" s="10" t="s">
        <v>349</v>
      </c>
    </row>
    <row r="22" spans="1:3" ht="36" customHeight="1" x14ac:dyDescent="0.35">
      <c r="A22" s="2" t="s">
        <v>350</v>
      </c>
      <c r="B22" s="4" t="s">
        <v>351</v>
      </c>
      <c r="C22" s="10" t="s">
        <v>352</v>
      </c>
    </row>
    <row r="23" spans="1:3" ht="36" customHeight="1" x14ac:dyDescent="0.35">
      <c r="A23" s="2" t="s">
        <v>353</v>
      </c>
      <c r="B23" s="6" t="s">
        <v>354</v>
      </c>
      <c r="C23" s="10" t="s">
        <v>355</v>
      </c>
    </row>
    <row r="25" spans="1:3" ht="24" customHeight="1" x14ac:dyDescent="0.35">
      <c r="A25" s="40" t="s">
        <v>356</v>
      </c>
      <c r="B25" s="41"/>
      <c r="C25" s="41"/>
    </row>
    <row r="26" spans="1:3" ht="24" customHeight="1" x14ac:dyDescent="0.35">
      <c r="A26" s="1" t="s">
        <v>10</v>
      </c>
      <c r="B26" s="1" t="s">
        <v>357</v>
      </c>
      <c r="C26" s="1" t="s">
        <v>358</v>
      </c>
    </row>
    <row r="27" spans="1:3" ht="36" customHeight="1" x14ac:dyDescent="0.35">
      <c r="A27" s="2" t="s">
        <v>359</v>
      </c>
      <c r="B27" s="6" t="s">
        <v>360</v>
      </c>
      <c r="C27" s="6" t="s">
        <v>361</v>
      </c>
    </row>
    <row r="28" spans="1:3" ht="36" customHeight="1" x14ac:dyDescent="0.35">
      <c r="A28" s="2" t="s">
        <v>362</v>
      </c>
      <c r="B28" s="4" t="s">
        <v>363</v>
      </c>
      <c r="C28" s="4" t="s">
        <v>364</v>
      </c>
    </row>
    <row r="29" spans="1:3" ht="36" customHeight="1" x14ac:dyDescent="0.35">
      <c r="A29" s="2" t="s">
        <v>365</v>
      </c>
      <c r="B29" s="6" t="s">
        <v>366</v>
      </c>
      <c r="C29" s="6" t="s">
        <v>367</v>
      </c>
    </row>
    <row r="30" spans="1:3" ht="36" customHeight="1" x14ac:dyDescent="0.35">
      <c r="A30" s="2" t="s">
        <v>368</v>
      </c>
      <c r="B30" s="4" t="s">
        <v>369</v>
      </c>
      <c r="C30" s="4" t="s">
        <v>370</v>
      </c>
    </row>
    <row r="31" spans="1:3" ht="36" customHeight="1" x14ac:dyDescent="0.35">
      <c r="A31" s="2" t="s">
        <v>371</v>
      </c>
      <c r="B31" s="6" t="s">
        <v>372</v>
      </c>
      <c r="C31" s="6" t="s">
        <v>373</v>
      </c>
    </row>
    <row r="32" spans="1:3" ht="36" customHeight="1" x14ac:dyDescent="0.35">
      <c r="A32" s="2" t="s">
        <v>374</v>
      </c>
      <c r="B32" s="4" t="s">
        <v>375</v>
      </c>
      <c r="C32" s="4" t="s">
        <v>376</v>
      </c>
    </row>
    <row r="33" spans="1:3" ht="36" customHeight="1" x14ac:dyDescent="0.35">
      <c r="A33" s="2" t="s">
        <v>377</v>
      </c>
      <c r="B33" s="6" t="s">
        <v>378</v>
      </c>
      <c r="C33" s="6" t="s">
        <v>379</v>
      </c>
    </row>
  </sheetData>
  <mergeCells count="5">
    <mergeCell ref="A25:C25"/>
    <mergeCell ref="A1:C1"/>
    <mergeCell ref="A17:C17"/>
    <mergeCell ref="A4:C4"/>
    <mergeCell ref="A2:C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CD980-719C-4F87-9957-35B43626A148}">
  <dimension ref="A1:K8"/>
  <sheetViews>
    <sheetView zoomScale="205" zoomScaleNormal="205" workbookViewId="0">
      <selection activeCell="D3" sqref="D3"/>
    </sheetView>
  </sheetViews>
  <sheetFormatPr defaultRowHeight="14.5" x14ac:dyDescent="0.35"/>
  <cols>
    <col min="2" max="2" width="2.1796875" customWidth="1"/>
    <col min="10" max="10" width="2" customWidth="1"/>
  </cols>
  <sheetData>
    <row r="1" spans="1:11" x14ac:dyDescent="0.35">
      <c r="C1" s="12" t="s">
        <v>380</v>
      </c>
      <c r="D1" s="12" t="s">
        <v>381</v>
      </c>
      <c r="E1" s="12" t="s">
        <v>382</v>
      </c>
      <c r="F1" s="12" t="s">
        <v>383</v>
      </c>
      <c r="G1" s="12" t="s">
        <v>384</v>
      </c>
      <c r="H1" s="12" t="s">
        <v>385</v>
      </c>
      <c r="I1" s="12" t="s">
        <v>386</v>
      </c>
      <c r="K1" s="18" t="s">
        <v>387</v>
      </c>
    </row>
    <row r="2" spans="1:11" x14ac:dyDescent="0.35">
      <c r="A2" t="s">
        <v>388</v>
      </c>
      <c r="C2" s="20">
        <v>21</v>
      </c>
      <c r="D2" s="21">
        <v>22</v>
      </c>
      <c r="E2" s="21">
        <v>23</v>
      </c>
      <c r="F2" s="21">
        <v>24</v>
      </c>
      <c r="G2" s="21">
        <v>25</v>
      </c>
      <c r="H2" s="21">
        <v>26</v>
      </c>
      <c r="I2" s="43">
        <v>27</v>
      </c>
      <c r="K2" s="19">
        <v>5</v>
      </c>
    </row>
    <row r="3" spans="1:11" x14ac:dyDescent="0.35">
      <c r="A3" t="s">
        <v>389</v>
      </c>
      <c r="C3" s="20">
        <v>28</v>
      </c>
      <c r="D3" s="42">
        <v>29</v>
      </c>
      <c r="E3" s="15">
        <v>30</v>
      </c>
      <c r="F3" s="11">
        <v>1</v>
      </c>
      <c r="G3" s="11">
        <v>2</v>
      </c>
      <c r="H3" s="11">
        <v>3</v>
      </c>
      <c r="I3" s="11">
        <v>4</v>
      </c>
      <c r="K3" s="19">
        <v>6</v>
      </c>
    </row>
    <row r="4" spans="1:11" x14ac:dyDescent="0.35">
      <c r="C4" s="11">
        <v>5</v>
      </c>
      <c r="D4" s="11">
        <v>6</v>
      </c>
      <c r="E4" s="11">
        <v>7</v>
      </c>
      <c r="F4" s="11">
        <v>8</v>
      </c>
      <c r="G4" s="11">
        <v>9</v>
      </c>
      <c r="H4" s="11">
        <v>10</v>
      </c>
      <c r="I4" s="11">
        <v>11</v>
      </c>
      <c r="K4" s="19" t="s">
        <v>390</v>
      </c>
    </row>
    <row r="5" spans="1:11" x14ac:dyDescent="0.35">
      <c r="C5" s="11">
        <v>12</v>
      </c>
      <c r="D5" s="11">
        <v>13</v>
      </c>
      <c r="E5" s="11">
        <v>14</v>
      </c>
      <c r="F5" s="11">
        <v>15</v>
      </c>
      <c r="G5" s="11">
        <v>16</v>
      </c>
      <c r="H5" s="11">
        <v>17</v>
      </c>
      <c r="I5" s="11">
        <v>18</v>
      </c>
      <c r="K5" s="19">
        <v>7</v>
      </c>
    </row>
    <row r="6" spans="1:11" x14ac:dyDescent="0.35">
      <c r="C6" s="11">
        <v>19</v>
      </c>
      <c r="D6" s="11">
        <v>20</v>
      </c>
      <c r="E6" s="11">
        <v>21</v>
      </c>
      <c r="F6" s="11">
        <v>22</v>
      </c>
      <c r="G6" s="11">
        <v>23</v>
      </c>
      <c r="H6" s="11">
        <v>24</v>
      </c>
      <c r="I6" s="11">
        <v>25</v>
      </c>
      <c r="K6" s="19">
        <v>8</v>
      </c>
    </row>
    <row r="7" spans="1:11" x14ac:dyDescent="0.35">
      <c r="A7" t="s">
        <v>391</v>
      </c>
      <c r="C7" s="11">
        <v>26</v>
      </c>
      <c r="D7" s="11">
        <v>27</v>
      </c>
      <c r="E7" s="11">
        <v>28</v>
      </c>
      <c r="F7" s="11">
        <v>29</v>
      </c>
      <c r="G7" s="11">
        <v>30</v>
      </c>
      <c r="H7" s="11">
        <v>31</v>
      </c>
      <c r="I7" s="16">
        <v>1</v>
      </c>
      <c r="K7" s="19">
        <v>9</v>
      </c>
    </row>
    <row r="8" spans="1:11" x14ac:dyDescent="0.35">
      <c r="C8" s="13">
        <v>2</v>
      </c>
      <c r="D8" s="17">
        <v>3</v>
      </c>
      <c r="E8" s="14">
        <v>4</v>
      </c>
      <c r="F8" s="14">
        <v>5</v>
      </c>
      <c r="G8" s="14">
        <v>6</v>
      </c>
      <c r="H8" s="14">
        <v>7</v>
      </c>
      <c r="I8" s="15">
        <v>8</v>
      </c>
      <c r="K8" s="19">
        <v>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26E8A4E9297544A64FC0F2E67088FC" ma:contentTypeVersion="3" ma:contentTypeDescription="Create a new document." ma:contentTypeScope="" ma:versionID="d8d83530109d95ae3363fc6402961483">
  <xsd:schema xmlns:xsd="http://www.w3.org/2001/XMLSchema" xmlns:xs="http://www.w3.org/2001/XMLSchema" xmlns:p="http://schemas.microsoft.com/office/2006/metadata/properties" xmlns:ns2="9bbab571-388d-446f-a40a-9c6181c90ff3" targetNamespace="http://schemas.microsoft.com/office/2006/metadata/properties" ma:root="true" ma:fieldsID="8257d7e29832ac89875c7a295118c8ce" ns2:_="">
    <xsd:import namespace="9bbab571-388d-446f-a40a-9c6181c90ff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bab571-388d-446f-a40a-9c6181c90f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50631F-15FD-4685-A370-DC7B2B35FC4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F0D183A-0CFF-4104-8982-1747568C723E}">
  <ds:schemaRefs>
    <ds:schemaRef ds:uri="http://schemas.microsoft.com/sharepoint/v3/contenttype/forms"/>
  </ds:schemaRefs>
</ds:datastoreItem>
</file>

<file path=customXml/itemProps3.xml><?xml version="1.0" encoding="utf-8"?>
<ds:datastoreItem xmlns:ds="http://schemas.openxmlformats.org/officeDocument/2006/customXml" ds:itemID="{09819D9A-E190-4F15-8BAB-75855ABFA3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bab571-388d-446f-a40a-9c6181c90f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98a79ca-5a9a-4791-a243-f06afd67464d}" enabled="0" method="" siteId="{c98a79ca-5a9a-4791-a243-f06afd67464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Pitch_Comparison_Matrix</vt:lpstr>
      <vt:lpstr>Idea_1_MultiAgent_MCP</vt:lpstr>
      <vt:lpstr>Idea_2_RAG_vs_QLoRA</vt:lpstr>
      <vt:lpstr>Blank_Idea_Template</vt:lpstr>
      <vt:lpstr>Prof_Rubric_&amp;_Guidelines</vt:lpstr>
      <vt:lpstr>Cal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Amanda TAN Sock Yee</cp:lastModifiedBy>
  <cp:revision/>
  <dcterms:created xsi:type="dcterms:W3CDTF">2026-09-25T15:40:30Z</dcterms:created>
  <dcterms:modified xsi:type="dcterms:W3CDTF">2026-09-28T16:57:53Z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0x0101002626E8A4E9297544A64FC0F2E67088FC</vt:lpwstr>
  </property>
</Properties>
</file>